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55B58A69-13B7-444E-B7B4-050FC8CF56A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onsumption" sheetId="1" r:id="rId1"/>
    <sheet name="Depletions" sheetId="5" r:id="rId2"/>
    <sheet name="Burning" sheetId="2" r:id="rId3"/>
    <sheet name="Breaking" sheetId="3" r:id="rId4"/>
    <sheet name="Railcars" sheetId="4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4" i="1" l="1"/>
  <c r="K33" i="1"/>
  <c r="L34" i="1"/>
  <c r="L33" i="1"/>
  <c r="U91" i="2" l="1"/>
  <c r="S91" i="2"/>
  <c r="H31" i="1" l="1"/>
  <c r="I31" i="1"/>
  <c r="I30" i="1"/>
  <c r="H30" i="1"/>
  <c r="F34" i="1"/>
  <c r="F33" i="1"/>
  <c r="E34" i="1"/>
  <c r="E33" i="1"/>
  <c r="C32" i="1"/>
  <c r="B31" i="1"/>
  <c r="C31" i="1"/>
  <c r="B32" i="1"/>
  <c r="N35" i="2" l="1"/>
  <c r="L35" i="2"/>
  <c r="G20" i="2" l="1"/>
  <c r="E20" i="2"/>
</calcChain>
</file>

<file path=xl/sharedStrings.xml><?xml version="1.0" encoding="utf-8"?>
<sst xmlns="http://schemas.openxmlformats.org/spreadsheetml/2006/main" count="553" uniqueCount="232">
  <si>
    <t>436 Tundish</t>
  </si>
  <si>
    <t>444 Home</t>
  </si>
  <si>
    <t>171 Home</t>
  </si>
  <si>
    <t>59W</t>
  </si>
  <si>
    <t>436 Scrap</t>
  </si>
  <si>
    <t>181 Tundish</t>
  </si>
  <si>
    <t>409 Tundish</t>
  </si>
  <si>
    <t>Fragmented Scrap</t>
  </si>
  <si>
    <t>Middletown</t>
  </si>
  <si>
    <t>20M</t>
  </si>
  <si>
    <t>Depleted in December</t>
  </si>
  <si>
    <t>Depleted in January</t>
  </si>
  <si>
    <t>Day</t>
  </si>
  <si>
    <t>Consumed</t>
  </si>
  <si>
    <t>Net_Tons</t>
  </si>
  <si>
    <t xml:space="preserve">51U </t>
  </si>
  <si>
    <t>409NI HOME</t>
  </si>
  <si>
    <t>Misc - Delta Rings</t>
  </si>
  <si>
    <t>17D</t>
  </si>
  <si>
    <t>Misc - Steel Pallets</t>
  </si>
  <si>
    <t>Moly Barrels</t>
  </si>
  <si>
    <t>17a</t>
  </si>
  <si>
    <t>Misc - AOD Chutes</t>
  </si>
  <si>
    <t>430 &amp; 440 HOME - Unprep</t>
  </si>
  <si>
    <t>409 Reclaim</t>
  </si>
  <si>
    <t>435 Reclaim</t>
  </si>
  <si>
    <t>439 Home</t>
  </si>
  <si>
    <t>58t</t>
  </si>
  <si>
    <t>59z</t>
  </si>
  <si>
    <t>17r</t>
  </si>
  <si>
    <t>178/17H</t>
  </si>
  <si>
    <t>17c</t>
  </si>
  <si>
    <t>17n/17e</t>
  </si>
  <si>
    <t>HeavyMelt sold/depleted</t>
  </si>
  <si>
    <t>Bay 5/6 Chrome 52.59%</t>
  </si>
  <si>
    <t>#1 Bushelling</t>
  </si>
  <si>
    <t>Bay 3/4 Chrome</t>
  </si>
  <si>
    <t>Work Rolls</t>
  </si>
  <si>
    <t>Banding</t>
  </si>
  <si>
    <t>181 Home</t>
  </si>
  <si>
    <t>436 Home</t>
  </si>
  <si>
    <t>Dec Total</t>
  </si>
  <si>
    <t>Jan Avg</t>
  </si>
  <si>
    <t>Jan Total</t>
  </si>
  <si>
    <t>Dec Avg</t>
  </si>
  <si>
    <t>41b</t>
  </si>
  <si>
    <t>Bscrap</t>
  </si>
  <si>
    <t>Conexus Chrome</t>
  </si>
  <si>
    <t>Slabs by diesel tank</t>
  </si>
  <si>
    <t>181 Blend</t>
  </si>
  <si>
    <t>Depleted in February</t>
  </si>
  <si>
    <t>Broken Bands</t>
  </si>
  <si>
    <t>181 Reclaim</t>
  </si>
  <si>
    <t>Ni Reclaim</t>
  </si>
  <si>
    <t>Feb Avg</t>
  </si>
  <si>
    <t>Feb Total</t>
  </si>
  <si>
    <t>Date</t>
  </si>
  <si>
    <t>Net(lbs)</t>
  </si>
  <si>
    <t>From</t>
  </si>
  <si>
    <t>To</t>
  </si>
  <si>
    <t>NetTons</t>
  </si>
  <si>
    <t># of Cuts</t>
  </si>
  <si>
    <t>Billable Tons</t>
  </si>
  <si>
    <t>40C</t>
  </si>
  <si>
    <t>26C</t>
  </si>
  <si>
    <t>38C</t>
  </si>
  <si>
    <t>32C</t>
  </si>
  <si>
    <t>50C</t>
  </si>
  <si>
    <t>35C</t>
  </si>
  <si>
    <t>24C</t>
  </si>
  <si>
    <t>94C</t>
  </si>
  <si>
    <t>60C</t>
  </si>
  <si>
    <t>41B</t>
  </si>
  <si>
    <t>B Scrap</t>
  </si>
  <si>
    <t>35c</t>
  </si>
  <si>
    <t>95c</t>
  </si>
  <si>
    <t>24c</t>
  </si>
  <si>
    <t>40c</t>
  </si>
  <si>
    <t>February Totals</t>
  </si>
  <si>
    <t>January Totals</t>
  </si>
  <si>
    <t>436 Reclaim</t>
  </si>
  <si>
    <t xml:space="preserve"> B Scrap 2/21</t>
  </si>
  <si>
    <t>DATE</t>
  </si>
  <si>
    <t>COMMODITY</t>
  </si>
  <si>
    <t>NET</t>
  </si>
  <si>
    <t>NET TONS</t>
  </si>
  <si>
    <t>FROM PILE #</t>
  </si>
  <si>
    <t>TO PILE #</t>
  </si>
  <si>
    <t>409 Home</t>
  </si>
  <si>
    <t>32L</t>
  </si>
  <si>
    <t>95U</t>
  </si>
  <si>
    <t>409 Ni Home</t>
  </si>
  <si>
    <t>62U</t>
  </si>
  <si>
    <t>38U</t>
  </si>
  <si>
    <t>Broken Rolls</t>
  </si>
  <si>
    <t>17Y</t>
  </si>
  <si>
    <t>17R</t>
  </si>
  <si>
    <t>JANUARY</t>
  </si>
  <si>
    <t>FEBRUARY</t>
  </si>
  <si>
    <t>TOTAL LBS</t>
  </si>
  <si>
    <t>TOTAL NET TONS</t>
  </si>
  <si>
    <t>14c</t>
  </si>
  <si>
    <t>40A</t>
  </si>
  <si>
    <t>59C</t>
  </si>
  <si>
    <t>436 HOME</t>
  </si>
  <si>
    <t>439 HOME</t>
  </si>
  <si>
    <t>51C</t>
  </si>
  <si>
    <t>March Total</t>
  </si>
  <si>
    <t>March Avg</t>
  </si>
  <si>
    <t>Depleted in March</t>
  </si>
  <si>
    <t>14C</t>
  </si>
  <si>
    <t>March Totals</t>
  </si>
  <si>
    <t>430 HOME</t>
  </si>
  <si>
    <t>51U</t>
  </si>
  <si>
    <t>435 HOME</t>
  </si>
  <si>
    <t>26U</t>
  </si>
  <si>
    <t>32c</t>
  </si>
  <si>
    <t>94c</t>
  </si>
  <si>
    <t>50c</t>
  </si>
  <si>
    <t>95C</t>
  </si>
  <si>
    <t>73C</t>
  </si>
  <si>
    <t>59R</t>
  </si>
  <si>
    <t>59J</t>
  </si>
  <si>
    <t>17W</t>
  </si>
  <si>
    <t>439 Tundish</t>
  </si>
  <si>
    <t>Bscrap 3/10</t>
  </si>
  <si>
    <t>39C</t>
  </si>
  <si>
    <t>430 Home</t>
  </si>
  <si>
    <t>81C</t>
  </si>
  <si>
    <t>Bscrap 3/16</t>
  </si>
  <si>
    <t>13C</t>
  </si>
  <si>
    <t>32U</t>
  </si>
  <si>
    <t>59U</t>
  </si>
  <si>
    <t>MARCH</t>
  </si>
  <si>
    <t>Empty</t>
  </si>
  <si>
    <t>Kroot</t>
  </si>
  <si>
    <t>Released</t>
  </si>
  <si>
    <t>S 430 Scrap</t>
  </si>
  <si>
    <t>ARVIN SANGO INC</t>
  </si>
  <si>
    <t>GNWR4086</t>
  </si>
  <si>
    <t>GNWR4034</t>
  </si>
  <si>
    <t>40G/606</t>
  </si>
  <si>
    <t>S 40916 Scrap</t>
  </si>
  <si>
    <t>FAURECIA EMISSIO</t>
  </si>
  <si>
    <t>GNWR4087</t>
  </si>
  <si>
    <t>CSS30247</t>
  </si>
  <si>
    <t>Weighed Twice</t>
  </si>
  <si>
    <t>CMC COMMERCIAL M</t>
  </si>
  <si>
    <t>SMIX660648</t>
  </si>
  <si>
    <t>RG&gt;181 Stainless</t>
  </si>
  <si>
    <t>15G/606</t>
  </si>
  <si>
    <t>S 181/409 Blend</t>
  </si>
  <si>
    <t>CLEVELAND CLIFFS</t>
  </si>
  <si>
    <t>RMGX9109</t>
  </si>
  <si>
    <t>RG&gt;430 Blend</t>
  </si>
  <si>
    <t>40K/147</t>
  </si>
  <si>
    <t>AK TUBE LLC</t>
  </si>
  <si>
    <t>GNWR4135</t>
  </si>
  <si>
    <t>AEX26609</t>
  </si>
  <si>
    <t>RG&gt;430 Blend - NewPO 1599060</t>
  </si>
  <si>
    <t>S 181 Purchased Scrap</t>
  </si>
  <si>
    <t>AEX26566</t>
  </si>
  <si>
    <t>AEX19553</t>
  </si>
  <si>
    <t>AEX19544</t>
  </si>
  <si>
    <t>S 430/409 Blend</t>
  </si>
  <si>
    <t>FERROUS PROCESSI</t>
  </si>
  <si>
    <t>ZVBX52230</t>
  </si>
  <si>
    <t>RG&gt; 181 Stainless</t>
  </si>
  <si>
    <t>50G/606</t>
  </si>
  <si>
    <t>SMIX660216</t>
  </si>
  <si>
    <t>PRECISION STRIP</t>
  </si>
  <si>
    <t>GNWR4117</t>
  </si>
  <si>
    <t>GNWR4076</t>
  </si>
  <si>
    <t>CSXT483470</t>
  </si>
  <si>
    <t>RG&gt; 430 Stainless</t>
  </si>
  <si>
    <t>38M/504</t>
  </si>
  <si>
    <t>S 439 Home Scrap</t>
  </si>
  <si>
    <t>CR581775</t>
  </si>
  <si>
    <t>RG&gt;409 ST</t>
  </si>
  <si>
    <t>15T/408</t>
  </si>
  <si>
    <t>GONX320345</t>
  </si>
  <si>
    <t>RG&gt;181 Blend</t>
  </si>
  <si>
    <t>40H/156</t>
  </si>
  <si>
    <t>GONX310738</t>
  </si>
  <si>
    <t>Empty 3/3</t>
  </si>
  <si>
    <t>NS210824</t>
  </si>
  <si>
    <t>Empty 3/4</t>
  </si>
  <si>
    <t>FPT CLEVELAND</t>
  </si>
  <si>
    <t>ITFX2295</t>
  </si>
  <si>
    <t>RG&gt;181 BLEND</t>
  </si>
  <si>
    <t>GNWR4077</t>
  </si>
  <si>
    <t>GNWR4068</t>
  </si>
  <si>
    <t>GNWR4066</t>
  </si>
  <si>
    <t>GNWR4057</t>
  </si>
  <si>
    <t>GNWR4053</t>
  </si>
  <si>
    <t>AEX26561</t>
  </si>
  <si>
    <t>AEX26508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</si>
  <si>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</si>
  <si>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</si>
  <si>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</si>
  <si>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</si>
  <si>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</si>
  <si>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</si>
  <si>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</si>
  <si>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</si>
  <si>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</si>
  <si>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</si>
  <si>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</si>
  <si>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ASNs Arrived Master Report March</t>
  </si>
  <si>
    <t>Empty 3/24</t>
  </si>
  <si>
    <t>RG &gt; 181 St</t>
  </si>
  <si>
    <t>Bundles</t>
  </si>
  <si>
    <t>Railcars Processed in/out of yard</t>
  </si>
  <si>
    <t>GNWR4086 3-23</t>
  </si>
  <si>
    <t>GNWR4034 3-23</t>
  </si>
  <si>
    <t>GNWR4087 3-20</t>
  </si>
  <si>
    <t>CSS30247 3-20</t>
  </si>
  <si>
    <t>SMIX660648 3-16</t>
  </si>
  <si>
    <t>RMGX9109 3-12</t>
  </si>
  <si>
    <t>GNWR4135 3-12</t>
  </si>
  <si>
    <t>AEX26609 3-12</t>
  </si>
  <si>
    <t>AEX26566 3-12</t>
  </si>
  <si>
    <t>AEX19553 3-12</t>
  </si>
  <si>
    <t>AEX19544 3-12</t>
  </si>
  <si>
    <t>ZVBX52230 3-10</t>
  </si>
  <si>
    <t>SMIX660216 3-10</t>
  </si>
  <si>
    <t>GNWR4117 3-10</t>
  </si>
  <si>
    <t>CSXT483470 3-10</t>
  </si>
  <si>
    <t>GNWR4076 3-10</t>
  </si>
  <si>
    <t>CR581775 3-10</t>
  </si>
  <si>
    <t>No Photo Taken</t>
  </si>
  <si>
    <t>Baghouse frames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</si>
</sst>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name val="Calibri"/>
    </font>
    <font>
      <b/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u/>
      <sz val="11"/>
      <color theme="10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124">
    <xf numFmtId="0" fontId="0" fillId="0" borderId="0" xfId="0"/>
    <xf numFmtId="0" fontId="0" fillId="0" borderId="1" xfId="0" applyBorder="1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3" fontId="0" fillId="0" borderId="0" xfId="0" applyNumberFormat="1"/>
    <xf numFmtId="14" fontId="0" fillId="0" borderId="0" xfId="0" applyNumberFormat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" xfId="0" applyBorder="1" applyAlignment="1">
      <alignment vertical="center" wrapText="1"/>
    </xf>
    <xf numFmtId="0" fontId="1" fillId="0" borderId="1" xfId="0" applyFont="1" applyBorder="1"/>
    <xf numFmtId="14" fontId="0" fillId="0" borderId="5" xfId="0" applyNumberForma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14" fontId="0" fillId="0" borderId="13" xfId="0" applyNumberFormat="1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0" fillId="0" borderId="9" xfId="0" applyBorder="1" applyAlignment="1">
      <alignment horizontal="center"/>
    </xf>
    <xf numFmtId="0" fontId="1" fillId="0" borderId="17" xfId="0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1" fillId="0" borderId="18" xfId="0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1" fillId="0" borderId="19" xfId="0" applyFont="1" applyBorder="1" applyAlignment="1">
      <alignment horizontal="center"/>
    </xf>
    <xf numFmtId="0" fontId="1" fillId="0" borderId="20" xfId="0" applyFont="1" applyBorder="1" applyAlignment="1">
      <alignment horizontal="center"/>
    </xf>
    <xf numFmtId="0" fontId="1" fillId="0" borderId="21" xfId="0" applyFont="1" applyBorder="1" applyAlignment="1">
      <alignment horizontal="center"/>
    </xf>
    <xf numFmtId="0" fontId="1" fillId="0" borderId="22" xfId="0" applyFont="1" applyBorder="1" applyAlignment="1">
      <alignment horizontal="center"/>
    </xf>
    <xf numFmtId="0" fontId="4" fillId="2" borderId="24" xfId="0" applyFont="1" applyFill="1" applyBorder="1" applyAlignment="1">
      <alignment horizontal="center"/>
    </xf>
    <xf numFmtId="0" fontId="4" fillId="2" borderId="25" xfId="0" applyFont="1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2" borderId="23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0" fillId="2" borderId="26" xfId="0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3" fontId="4" fillId="2" borderId="2" xfId="0" applyNumberFormat="1" applyFont="1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0" fillId="2" borderId="29" xfId="0" applyFill="1" applyBorder="1" applyAlignment="1">
      <alignment horizontal="center"/>
    </xf>
    <xf numFmtId="0" fontId="4" fillId="2" borderId="16" xfId="0" applyFont="1" applyFill="1" applyBorder="1" applyAlignment="1">
      <alignment horizontal="center"/>
    </xf>
    <xf numFmtId="3" fontId="4" fillId="2" borderId="16" xfId="0" applyNumberFormat="1" applyFont="1" applyFill="1" applyBorder="1" applyAlignment="1">
      <alignment horizontal="center"/>
    </xf>
    <xf numFmtId="0" fontId="4" fillId="2" borderId="31" xfId="0" applyFont="1" applyFill="1" applyBorder="1" applyAlignment="1">
      <alignment horizontal="center"/>
    </xf>
    <xf numFmtId="0" fontId="0" fillId="2" borderId="32" xfId="0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4" fillId="2" borderId="8" xfId="0" applyFont="1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4" fillId="2" borderId="18" xfId="0" applyFont="1" applyFill="1" applyBorder="1" applyAlignment="1">
      <alignment horizontal="center"/>
    </xf>
    <xf numFmtId="0" fontId="0" fillId="2" borderId="33" xfId="0" applyFill="1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4" fillId="2" borderId="30" xfId="0" applyFont="1" applyFill="1" applyBorder="1" applyAlignment="1">
      <alignment horizontal="center"/>
    </xf>
    <xf numFmtId="0" fontId="4" fillId="2" borderId="29" xfId="0" applyFont="1" applyFill="1" applyBorder="1" applyAlignment="1">
      <alignment horizontal="center"/>
    </xf>
    <xf numFmtId="0" fontId="0" fillId="2" borderId="27" xfId="0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16" xfId="0" applyFont="1" applyBorder="1" applyAlignment="1">
      <alignment horizontal="center"/>
    </xf>
    <xf numFmtId="0" fontId="0" fillId="2" borderId="13" xfId="0" applyFill="1" applyBorder="1" applyAlignment="1">
      <alignment horizontal="center"/>
    </xf>
    <xf numFmtId="0" fontId="0" fillId="2" borderId="14" xfId="0" applyFill="1" applyBorder="1" applyAlignment="1">
      <alignment horizontal="center"/>
    </xf>
    <xf numFmtId="0" fontId="4" fillId="2" borderId="14" xfId="0" applyFont="1" applyFill="1" applyBorder="1" applyAlignment="1">
      <alignment horizontal="center"/>
    </xf>
    <xf numFmtId="0" fontId="0" fillId="2" borderId="38" xfId="0" applyFill="1" applyBorder="1" applyAlignment="1">
      <alignment horizontal="center"/>
    </xf>
    <xf numFmtId="3" fontId="4" fillId="2" borderId="11" xfId="0" applyNumberFormat="1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2" borderId="39" xfId="0" applyFont="1" applyFill="1" applyBorder="1" applyAlignment="1">
      <alignment horizontal="center"/>
    </xf>
    <xf numFmtId="0" fontId="4" fillId="2" borderId="40" xfId="0" applyFont="1" applyFill="1" applyBorder="1" applyAlignment="1">
      <alignment horizontal="center"/>
    </xf>
    <xf numFmtId="0" fontId="4" fillId="2" borderId="34" xfId="0" applyFont="1" applyFill="1" applyBorder="1" applyAlignment="1">
      <alignment horizontal="left"/>
    </xf>
    <xf numFmtId="0" fontId="0" fillId="2" borderId="5" xfId="0" applyFill="1" applyBorder="1" applyAlignment="1">
      <alignment horizontal="center"/>
    </xf>
    <xf numFmtId="0" fontId="4" fillId="2" borderId="41" xfId="0" applyFont="1" applyFill="1" applyBorder="1" applyAlignment="1">
      <alignment horizontal="center"/>
    </xf>
    <xf numFmtId="3" fontId="4" fillId="2" borderId="0" xfId="0" applyNumberFormat="1" applyFont="1" applyFill="1" applyAlignment="1">
      <alignment horizontal="center"/>
    </xf>
    <xf numFmtId="0" fontId="0" fillId="2" borderId="42" xfId="0" applyFill="1" applyBorder="1" applyAlignment="1">
      <alignment horizontal="center"/>
    </xf>
    <xf numFmtId="0" fontId="4" fillId="2" borderId="32" xfId="0" applyFont="1" applyFill="1" applyBorder="1" applyAlignment="1">
      <alignment horizontal="center"/>
    </xf>
    <xf numFmtId="0" fontId="4" fillId="2" borderId="43" xfId="0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0" fontId="4" fillId="2" borderId="44" xfId="0" applyFont="1" applyFill="1" applyBorder="1" applyAlignment="1">
      <alignment horizontal="center"/>
    </xf>
    <xf numFmtId="0" fontId="4" fillId="2" borderId="15" xfId="0" applyFont="1" applyFill="1" applyBorder="1" applyAlignment="1">
      <alignment horizontal="center"/>
    </xf>
    <xf numFmtId="0" fontId="0" fillId="2" borderId="45" xfId="0" applyFill="1" applyBorder="1" applyAlignment="1">
      <alignment horizontal="center"/>
    </xf>
    <xf numFmtId="0" fontId="4" fillId="2" borderId="9" xfId="0" applyFont="1" applyFill="1" applyBorder="1" applyAlignment="1">
      <alignment horizontal="center"/>
    </xf>
    <xf numFmtId="0" fontId="4" fillId="2" borderId="7" xfId="0" applyFont="1" applyFill="1" applyBorder="1" applyAlignment="1">
      <alignment horizontal="left"/>
    </xf>
    <xf numFmtId="0" fontId="4" fillId="2" borderId="7" xfId="0" applyFont="1" applyFill="1" applyBorder="1" applyAlignment="1">
      <alignment horizontal="center"/>
    </xf>
    <xf numFmtId="3" fontId="1" fillId="2" borderId="16" xfId="0" applyNumberFormat="1" applyFont="1" applyFill="1" applyBorder="1" applyAlignment="1">
      <alignment horizontal="center"/>
    </xf>
    <xf numFmtId="0" fontId="1" fillId="2" borderId="14" xfId="0" applyFont="1" applyFill="1" applyBorder="1" applyAlignment="1">
      <alignment horizontal="center"/>
    </xf>
    <xf numFmtId="0" fontId="1" fillId="2" borderId="29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14" fontId="0" fillId="0" borderId="4" xfId="0" applyNumberFormat="1" applyBorder="1"/>
    <xf numFmtId="0" fontId="2" fillId="0" borderId="46" xfId="0" applyFont="1" applyBorder="1"/>
    <xf numFmtId="0" fontId="2" fillId="0" borderId="47" xfId="0" applyFont="1" applyBorder="1"/>
    <xf numFmtId="0" fontId="2" fillId="0" borderId="48" xfId="0" applyFont="1" applyBorder="1"/>
    <xf numFmtId="14" fontId="0" fillId="0" borderId="49" xfId="0" applyNumberFormat="1" applyBorder="1"/>
    <xf numFmtId="0" fontId="0" fillId="0" borderId="50" xfId="0" applyBorder="1"/>
    <xf numFmtId="0" fontId="1" fillId="0" borderId="49" xfId="0" applyFont="1" applyBorder="1"/>
    <xf numFmtId="0" fontId="1" fillId="0" borderId="50" xfId="0" applyFont="1" applyBorder="1"/>
    <xf numFmtId="0" fontId="1" fillId="0" borderId="51" xfId="0" applyFont="1" applyBorder="1"/>
    <xf numFmtId="0" fontId="1" fillId="0" borderId="52" xfId="0" applyFont="1" applyBorder="1"/>
    <xf numFmtId="0" fontId="1" fillId="0" borderId="53" xfId="0" applyFont="1" applyBorder="1"/>
    <xf numFmtId="0" fontId="1" fillId="0" borderId="3" xfId="0" applyFont="1" applyBorder="1"/>
    <xf numFmtId="0" fontId="0" fillId="0" borderId="3" xfId="0" applyBorder="1"/>
    <xf numFmtId="0" fontId="1" fillId="0" borderId="46" xfId="0" applyFont="1" applyBorder="1"/>
    <xf numFmtId="0" fontId="1" fillId="0" borderId="47" xfId="0" applyFont="1" applyBorder="1"/>
    <xf numFmtId="0" fontId="1" fillId="0" borderId="48" xfId="0" applyFont="1" applyBorder="1"/>
    <xf numFmtId="0" fontId="0" fillId="0" borderId="49" xfId="0" applyBorder="1"/>
    <xf numFmtId="0" fontId="2" fillId="0" borderId="54" xfId="0" applyFont="1" applyBorder="1"/>
    <xf numFmtId="0" fontId="1" fillId="0" borderId="55" xfId="0" applyFont="1" applyBorder="1"/>
    <xf numFmtId="0" fontId="1" fillId="0" borderId="56" xfId="0" applyFont="1" applyBorder="1"/>
    <xf numFmtId="0" fontId="1" fillId="0" borderId="4" xfId="0" applyFont="1" applyBorder="1"/>
    <xf numFmtId="0" fontId="1" fillId="0" borderId="57" xfId="0" applyFont="1" applyBorder="1"/>
    <xf numFmtId="0" fontId="0" fillId="0" borderId="4" xfId="0" applyBorder="1" applyAlignment="1">
      <alignment horizontal="center"/>
    </xf>
    <xf numFmtId="14" fontId="0" fillId="0" borderId="49" xfId="0" applyNumberFormat="1" applyBorder="1" applyAlignment="1">
      <alignment vertical="center" wrapText="1"/>
    </xf>
    <xf numFmtId="0" fontId="0" fillId="0" borderId="50" xfId="0" applyBorder="1" applyAlignment="1">
      <alignment vertical="center" wrapText="1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8" xfId="0" applyFont="1" applyBorder="1" applyAlignment="1">
      <alignment horizontal="center"/>
    </xf>
    <xf numFmtId="0" fontId="7" fillId="0" borderId="0" xfId="0" applyFont="1" applyAlignment="1">
      <alignment horizontal="center"/>
    </xf>
    <xf numFmtId="0" fontId="6" fillId="0" borderId="5" xfId="1" applyBorder="1" applyAlignment="1">
      <alignment horizontal="center"/>
    </xf>
    <xf numFmtId="0" fontId="6" fillId="0" borderId="0" xfId="1" applyAlignment="1">
      <alignment horizontal="center"/>
    </xf>
    <xf numFmtId="0" fontId="0" fillId="0" borderId="0" xfId="0" applyAlignment="1">
      <alignment horizontal="center" vertical="center"/>
    </xf>
    <xf numFmtId="0" fontId="5" fillId="0" borderId="37" xfId="0" applyFont="1" applyBorder="1" applyAlignment="1">
      <alignment horizontal="left"/>
    </xf>
    <xf numFmtId="0" fontId="5" fillId="0" borderId="36" xfId="0" applyFont="1" applyBorder="1" applyAlignment="1">
      <alignment horizontal="left"/>
    </xf>
    <xf numFmtId="0" fontId="5" fillId="0" borderId="35" xfId="0" applyFont="1" applyBorder="1" applyAlignment="1">
      <alignment horizontal="left"/>
    </xf>
    <xf numFmtId="0" fontId="8" fillId="0" borderId="0" xfId="0" applyFont="1" applyAlignment="1">
      <alignment horizontal="center"/>
    </xf>
    <xf numFmtId="14" fontId="0" fillId="0" borderId="1" xfId="0" applyNumberFormat="1" applyBorder="1"/>
  </cellXfs>
  <cellStyles count="2">
    <cellStyle name="Hyperlink" xfId="1" builtinId="8"/>
    <cellStyle name="Normal" xfId="0" builtinId="0"/>
  </cellStyles>
  <dxfs count="72"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Truck%20Scales\Railcar%20Photos\2026\03-2026\3-12\AEX26609%203-12.png" TargetMode="External"/><Relationship Id="rId13" Type="http://schemas.openxmlformats.org/officeDocument/2006/relationships/hyperlink" Target="Truck%20Scales\Railcar%20Photos\2026\03-2026\3-10\SMIX660216%203-10.png" TargetMode="External"/><Relationship Id="rId3" Type="http://schemas.openxmlformats.org/officeDocument/2006/relationships/hyperlink" Target="Truck%20Scales\Railcar%20Photos\2026\03-2026\3-20\GNWR4087%203-20.png" TargetMode="External"/><Relationship Id="rId7" Type="http://schemas.openxmlformats.org/officeDocument/2006/relationships/hyperlink" Target="Truck%20Scales\Railcar%20Photos\2026\03-2026\3-12\GNWR4135%203-12.png" TargetMode="External"/><Relationship Id="rId12" Type="http://schemas.openxmlformats.org/officeDocument/2006/relationships/hyperlink" Target="Truck%20Scales\Railcar%20Photos\2026\03-2026\3-10\ZVBX52230%203-10.png" TargetMode="External"/><Relationship Id="rId17" Type="http://schemas.openxmlformats.org/officeDocument/2006/relationships/hyperlink" Target="Truck%20Scales\Railcar%20Photos\2026\03-2026\3-10\CR581775%203-10.png" TargetMode="External"/><Relationship Id="rId2" Type="http://schemas.openxmlformats.org/officeDocument/2006/relationships/hyperlink" Target="Truck%20Scales\Railcar%20Photos\2026\03-2026\3-23\GNWR4034%203-23.png" TargetMode="External"/><Relationship Id="rId16" Type="http://schemas.openxmlformats.org/officeDocument/2006/relationships/hyperlink" Target="Truck%20Scales\Railcar%20Photos\2026\03-2026\3-10\GNWR4076%203-10.png" TargetMode="External"/><Relationship Id="rId1" Type="http://schemas.openxmlformats.org/officeDocument/2006/relationships/hyperlink" Target="Truck%20Scales\Railcar%20Photos\2026\03-2026\3-23\GNWR4086%203-23.png" TargetMode="External"/><Relationship Id="rId6" Type="http://schemas.openxmlformats.org/officeDocument/2006/relationships/hyperlink" Target="Truck%20Scales\Railcar%20Photos\2026\03-2026\3-12\RMGX9109%203-12.png" TargetMode="External"/><Relationship Id="rId11" Type="http://schemas.openxmlformats.org/officeDocument/2006/relationships/hyperlink" Target="Truck%20Scales\Railcar%20Photos\2026\03-2026\3-12\AEX19544%203-12.png" TargetMode="External"/><Relationship Id="rId5" Type="http://schemas.openxmlformats.org/officeDocument/2006/relationships/hyperlink" Target="Truck%20Scales\Railcar%20Photos\2026\03-2026\3-16\SMIX660648%203-16.jpg" TargetMode="External"/><Relationship Id="rId15" Type="http://schemas.openxmlformats.org/officeDocument/2006/relationships/hyperlink" Target="Truck%20Scales\Railcar%20Photos\2026\03-2026\3-10\CSXT483470%203-10.png" TargetMode="External"/><Relationship Id="rId10" Type="http://schemas.openxmlformats.org/officeDocument/2006/relationships/hyperlink" Target="Truck%20Scales\Railcar%20Photos\2026\03-2026\3-12\AEX19553%203-12.png" TargetMode="External"/><Relationship Id="rId4" Type="http://schemas.openxmlformats.org/officeDocument/2006/relationships/hyperlink" Target="Truck%20Scales\Railcar%20Photos\2026\03-2026\3-20\CSS30247%203-20.png" TargetMode="External"/><Relationship Id="rId9" Type="http://schemas.openxmlformats.org/officeDocument/2006/relationships/hyperlink" Target="Truck%20Scales\Railcar%20Photos\2026\03-2026\3-12\AEX26566%203-12.jpg" TargetMode="External"/><Relationship Id="rId14" Type="http://schemas.openxmlformats.org/officeDocument/2006/relationships/hyperlink" Target="Truck%20Scales\Railcar%20Photos\2026\03-2026\3-10\GNWR4117%203-10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24"/>
  <sheetViews>
    <sheetView tabSelected="1" zoomScaleNormal="100" workbookViewId="0">
      <selection activeCell="O28" sqref="O28"/>
    </sheetView>
  </sheetViews>
  <sheetFormatPr defaultRowHeight="15" x14ac:dyDescent="0.25"/>
  <cols>
    <col min="1" max="1" width="10.7109375" bestFit="1" customWidth="1"/>
    <col min="2" max="2" width="24.140625" bestFit="1" customWidth="1"/>
    <col min="3" max="3" width="12" bestFit="1" customWidth="1"/>
    <col min="4" max="4" width="9.7109375" bestFit="1" customWidth="1"/>
    <col min="5" max="5" width="18" customWidth="1"/>
    <col min="6" max="6" width="18.5703125" bestFit="1" customWidth="1"/>
    <col min="7" max="7" width="9.7109375" bestFit="1" customWidth="1"/>
    <col min="8" max="8" width="13.140625" customWidth="1"/>
    <col min="9" max="9" width="12" bestFit="1" customWidth="1"/>
    <col min="10" max="10" width="13.140625" bestFit="1" customWidth="1"/>
    <col min="11" max="11" width="15.85546875" customWidth="1"/>
    <col min="12" max="12" width="12" bestFit="1" customWidth="1"/>
    <col min="13" max="13" width="13.5703125" customWidth="1"/>
    <col min="14" max="14" width="16.28515625" bestFit="1" customWidth="1"/>
  </cols>
  <sheetData>
    <row r="1" spans="1:12" x14ac:dyDescent="0.25">
      <c r="A1" s="88" t="s">
        <v>12</v>
      </c>
      <c r="B1" s="89" t="s">
        <v>13</v>
      </c>
      <c r="C1" s="104" t="s">
        <v>14</v>
      </c>
      <c r="D1" s="88" t="s">
        <v>12</v>
      </c>
      <c r="E1" s="89" t="s">
        <v>13</v>
      </c>
      <c r="F1" s="90" t="s">
        <v>14</v>
      </c>
      <c r="G1" s="106" t="s">
        <v>12</v>
      </c>
      <c r="H1" s="101" t="s">
        <v>13</v>
      </c>
      <c r="I1" s="102" t="s">
        <v>14</v>
      </c>
      <c r="J1" s="100" t="s">
        <v>12</v>
      </c>
      <c r="K1" s="101" t="s">
        <v>13</v>
      </c>
      <c r="L1" s="102" t="s">
        <v>14</v>
      </c>
    </row>
    <row r="2" spans="1:12" x14ac:dyDescent="0.25">
      <c r="A2" s="91">
        <v>45992</v>
      </c>
      <c r="B2" s="1">
        <v>1125310</v>
      </c>
      <c r="C2" s="99">
        <v>562.65499999999997</v>
      </c>
      <c r="D2" s="91">
        <v>46023</v>
      </c>
      <c r="E2" s="1">
        <v>2671860</v>
      </c>
      <c r="F2" s="92">
        <v>1335.93</v>
      </c>
      <c r="G2" s="87">
        <v>46054</v>
      </c>
      <c r="H2" s="1">
        <v>2290900</v>
      </c>
      <c r="I2" s="92">
        <v>1145.45</v>
      </c>
      <c r="J2" s="91">
        <v>46082</v>
      </c>
      <c r="K2" s="1">
        <v>2122830</v>
      </c>
      <c r="L2" s="92">
        <v>1061.415</v>
      </c>
    </row>
    <row r="3" spans="1:12" x14ac:dyDescent="0.25">
      <c r="A3" s="91">
        <v>45993</v>
      </c>
      <c r="B3" s="1">
        <v>1882740</v>
      </c>
      <c r="C3" s="99">
        <v>941.37</v>
      </c>
      <c r="D3" s="91">
        <v>46024</v>
      </c>
      <c r="E3" s="1">
        <v>3229080</v>
      </c>
      <c r="F3" s="92">
        <v>1614.54</v>
      </c>
      <c r="G3" s="87">
        <v>46055</v>
      </c>
      <c r="H3" s="1">
        <v>1879670</v>
      </c>
      <c r="I3" s="92">
        <v>939.83500000000004</v>
      </c>
      <c r="J3" s="91">
        <v>46083</v>
      </c>
      <c r="K3" s="1">
        <v>2448140</v>
      </c>
      <c r="L3" s="92">
        <v>1224.07</v>
      </c>
    </row>
    <row r="4" spans="1:12" x14ac:dyDescent="0.25">
      <c r="A4" s="91">
        <v>45994</v>
      </c>
      <c r="B4" s="1">
        <v>2338370</v>
      </c>
      <c r="C4" s="99">
        <v>1169.1849999999999</v>
      </c>
      <c r="D4" s="91">
        <v>46025</v>
      </c>
      <c r="E4" s="1">
        <v>2917810</v>
      </c>
      <c r="F4" s="92">
        <v>1458.905</v>
      </c>
      <c r="G4" s="87">
        <v>46056</v>
      </c>
      <c r="H4" s="1">
        <v>34400</v>
      </c>
      <c r="I4" s="92">
        <v>17.2</v>
      </c>
      <c r="J4" s="91">
        <v>46084</v>
      </c>
      <c r="K4" s="1">
        <v>2194510</v>
      </c>
      <c r="L4" s="92">
        <v>1097.2550000000001</v>
      </c>
    </row>
    <row r="5" spans="1:12" x14ac:dyDescent="0.25">
      <c r="A5" s="91">
        <v>45995</v>
      </c>
      <c r="B5" s="1">
        <v>2234330</v>
      </c>
      <c r="C5" s="99">
        <v>1117.165</v>
      </c>
      <c r="D5" s="91">
        <v>46026</v>
      </c>
      <c r="E5" s="1">
        <v>3424760</v>
      </c>
      <c r="F5" s="92">
        <v>1712.38</v>
      </c>
      <c r="G5" s="87">
        <v>46057</v>
      </c>
      <c r="H5" s="1">
        <v>662510</v>
      </c>
      <c r="I5" s="92">
        <v>331.255</v>
      </c>
      <c r="J5" s="91">
        <v>46085</v>
      </c>
      <c r="K5" s="1">
        <v>3338430</v>
      </c>
      <c r="L5" s="92">
        <v>1669.2149999999999</v>
      </c>
    </row>
    <row r="6" spans="1:12" x14ac:dyDescent="0.25">
      <c r="A6" s="91">
        <v>45996</v>
      </c>
      <c r="B6" s="1">
        <v>2979820</v>
      </c>
      <c r="C6" s="99">
        <v>1489.91</v>
      </c>
      <c r="D6" s="91">
        <v>46027</v>
      </c>
      <c r="E6" s="1">
        <v>3019380</v>
      </c>
      <c r="F6" s="92">
        <v>1509.69</v>
      </c>
      <c r="G6" s="87">
        <v>46058</v>
      </c>
      <c r="H6" s="1">
        <v>3013150</v>
      </c>
      <c r="I6" s="92">
        <v>1506.575</v>
      </c>
      <c r="J6" s="91">
        <v>46086</v>
      </c>
      <c r="K6" s="1">
        <v>3136110</v>
      </c>
      <c r="L6" s="92">
        <v>1568.0550000000001</v>
      </c>
    </row>
    <row r="7" spans="1:12" x14ac:dyDescent="0.25">
      <c r="A7" s="91">
        <v>45997</v>
      </c>
      <c r="B7" s="1">
        <v>3201410</v>
      </c>
      <c r="C7" s="99">
        <v>1600.7049999999999</v>
      </c>
      <c r="D7" s="91">
        <v>46028</v>
      </c>
      <c r="E7" s="1">
        <v>2101250</v>
      </c>
      <c r="F7" s="92">
        <v>1050.625</v>
      </c>
      <c r="G7" s="87">
        <v>46059</v>
      </c>
      <c r="H7" s="1">
        <v>3660250</v>
      </c>
      <c r="I7" s="92">
        <v>1830.125</v>
      </c>
      <c r="J7" s="91">
        <v>46087</v>
      </c>
      <c r="K7" s="1">
        <v>2911280</v>
      </c>
      <c r="L7" s="92">
        <v>1455.64</v>
      </c>
    </row>
    <row r="8" spans="1:12" x14ac:dyDescent="0.25">
      <c r="A8" s="91">
        <v>45998</v>
      </c>
      <c r="B8" s="1">
        <v>3128990</v>
      </c>
      <c r="C8" s="99">
        <v>1564.4949999999999</v>
      </c>
      <c r="D8" s="91">
        <v>46029</v>
      </c>
      <c r="E8" s="1">
        <v>2485510</v>
      </c>
      <c r="F8" s="92">
        <v>1242.7550000000001</v>
      </c>
      <c r="G8" s="87">
        <v>46060</v>
      </c>
      <c r="H8" s="1">
        <v>3674420</v>
      </c>
      <c r="I8" s="92">
        <v>1837.21</v>
      </c>
      <c r="J8" s="91">
        <v>46088</v>
      </c>
      <c r="K8" s="1">
        <v>2391850</v>
      </c>
      <c r="L8" s="92">
        <v>1195.925</v>
      </c>
    </row>
    <row r="9" spans="1:12" x14ac:dyDescent="0.25">
      <c r="A9" s="91">
        <v>45999</v>
      </c>
      <c r="B9" s="1">
        <v>1973220</v>
      </c>
      <c r="C9" s="99">
        <v>986.61</v>
      </c>
      <c r="D9" s="91">
        <v>46030</v>
      </c>
      <c r="E9" s="1">
        <v>2675240</v>
      </c>
      <c r="F9" s="92">
        <v>1337.62</v>
      </c>
      <c r="G9" s="87">
        <v>46061</v>
      </c>
      <c r="H9" s="1">
        <v>3089090</v>
      </c>
      <c r="I9" s="92">
        <v>1544.5450000000001</v>
      </c>
      <c r="J9" s="91">
        <v>46089</v>
      </c>
      <c r="K9" s="1">
        <v>3055900</v>
      </c>
      <c r="L9" s="92">
        <v>1527.95</v>
      </c>
    </row>
    <row r="10" spans="1:12" x14ac:dyDescent="0.25">
      <c r="A10" s="91">
        <v>46000</v>
      </c>
      <c r="B10" s="1">
        <v>1718770</v>
      </c>
      <c r="C10" s="99">
        <v>859.38499999999999</v>
      </c>
      <c r="D10" s="91">
        <v>46031</v>
      </c>
      <c r="E10" s="1">
        <v>2698740</v>
      </c>
      <c r="F10" s="92">
        <v>1349.37</v>
      </c>
      <c r="G10" s="87">
        <v>46062</v>
      </c>
      <c r="H10" s="1">
        <v>2852180</v>
      </c>
      <c r="I10" s="92">
        <v>1426.09</v>
      </c>
      <c r="J10" s="91">
        <v>46090</v>
      </c>
      <c r="K10" s="1">
        <v>2024150</v>
      </c>
      <c r="L10" s="92">
        <v>1012.075</v>
      </c>
    </row>
    <row r="11" spans="1:12" x14ac:dyDescent="0.25">
      <c r="A11" s="91">
        <v>46001</v>
      </c>
      <c r="B11" s="1">
        <v>2856620</v>
      </c>
      <c r="C11" s="99">
        <v>1428.31</v>
      </c>
      <c r="D11" s="91">
        <v>46032</v>
      </c>
      <c r="E11" s="1">
        <v>3630840</v>
      </c>
      <c r="F11" s="92">
        <v>1815.42</v>
      </c>
      <c r="G11" s="87">
        <v>46063</v>
      </c>
      <c r="H11" s="1">
        <v>3534280</v>
      </c>
      <c r="I11" s="92">
        <v>1767.14</v>
      </c>
      <c r="J11" s="91">
        <v>46091</v>
      </c>
      <c r="K11" s="1">
        <v>3696500</v>
      </c>
      <c r="L11" s="92">
        <v>1848.25</v>
      </c>
    </row>
    <row r="12" spans="1:12" x14ac:dyDescent="0.25">
      <c r="A12" s="91">
        <v>46002</v>
      </c>
      <c r="B12" s="1">
        <v>2830200</v>
      </c>
      <c r="C12" s="99">
        <v>1415.1</v>
      </c>
      <c r="D12" s="91">
        <v>46033</v>
      </c>
      <c r="E12" s="1">
        <v>3062370</v>
      </c>
      <c r="F12" s="92">
        <v>1531.1849999999999</v>
      </c>
      <c r="G12" s="87">
        <v>46064</v>
      </c>
      <c r="H12" s="1">
        <v>3300020</v>
      </c>
      <c r="I12" s="92">
        <v>1650.01</v>
      </c>
      <c r="J12" s="91">
        <v>46092</v>
      </c>
      <c r="K12" s="1">
        <v>3209520</v>
      </c>
      <c r="L12" s="92">
        <v>1604.76</v>
      </c>
    </row>
    <row r="13" spans="1:12" x14ac:dyDescent="0.25">
      <c r="A13" s="91">
        <v>46003</v>
      </c>
      <c r="B13" s="1">
        <v>3135480</v>
      </c>
      <c r="C13" s="99">
        <v>1567.74</v>
      </c>
      <c r="D13" s="91">
        <v>46034</v>
      </c>
      <c r="E13" s="1">
        <v>3093810</v>
      </c>
      <c r="F13" s="92">
        <v>1546.905</v>
      </c>
      <c r="G13" s="87">
        <v>46065</v>
      </c>
      <c r="H13" s="1">
        <v>1265260</v>
      </c>
      <c r="I13" s="92">
        <v>632.63</v>
      </c>
      <c r="J13" s="91">
        <v>46093</v>
      </c>
      <c r="K13" s="1">
        <v>3642860</v>
      </c>
      <c r="L13" s="92">
        <v>1821.43</v>
      </c>
    </row>
    <row r="14" spans="1:12" x14ac:dyDescent="0.25">
      <c r="A14" s="91">
        <v>46004</v>
      </c>
      <c r="B14" s="1">
        <v>3100020</v>
      </c>
      <c r="C14" s="99">
        <v>1550.01</v>
      </c>
      <c r="D14" s="91">
        <v>46035</v>
      </c>
      <c r="E14" s="1">
        <v>2847960</v>
      </c>
      <c r="F14" s="92">
        <v>1423.98</v>
      </c>
      <c r="G14" s="87">
        <v>46066</v>
      </c>
      <c r="H14" s="1">
        <v>2772770</v>
      </c>
      <c r="I14" s="92">
        <v>1386.385</v>
      </c>
      <c r="J14" s="91">
        <v>46094</v>
      </c>
      <c r="K14" s="1">
        <v>3022340</v>
      </c>
      <c r="L14" s="92">
        <v>1511.17</v>
      </c>
    </row>
    <row r="15" spans="1:12" x14ac:dyDescent="0.25">
      <c r="A15" s="91">
        <v>46005</v>
      </c>
      <c r="B15" s="1">
        <v>2009190</v>
      </c>
      <c r="C15" s="99">
        <v>1004.595</v>
      </c>
      <c r="D15" s="91">
        <v>46036</v>
      </c>
      <c r="E15" s="1">
        <v>3240260</v>
      </c>
      <c r="F15" s="92">
        <v>1620.13</v>
      </c>
      <c r="G15" s="87">
        <v>46067</v>
      </c>
      <c r="H15" s="1">
        <v>2614450</v>
      </c>
      <c r="I15" s="92">
        <v>1307.2249999999999</v>
      </c>
      <c r="J15" s="91">
        <v>46095</v>
      </c>
      <c r="K15" s="1">
        <v>3387500</v>
      </c>
      <c r="L15" s="92">
        <v>1693.75</v>
      </c>
    </row>
    <row r="16" spans="1:12" x14ac:dyDescent="0.25">
      <c r="A16" s="91">
        <v>46006</v>
      </c>
      <c r="B16" s="1">
        <v>2841960</v>
      </c>
      <c r="C16" s="99">
        <v>1420.98</v>
      </c>
      <c r="D16" s="91">
        <v>46037</v>
      </c>
      <c r="E16" s="1">
        <v>2984160</v>
      </c>
      <c r="F16" s="92">
        <v>1492.08</v>
      </c>
      <c r="G16" s="87">
        <v>46068</v>
      </c>
      <c r="H16" s="1">
        <v>2939090</v>
      </c>
      <c r="I16" s="92">
        <v>1469.5450000000001</v>
      </c>
      <c r="J16" s="91">
        <v>46096</v>
      </c>
      <c r="K16" s="1">
        <v>2736740</v>
      </c>
      <c r="L16" s="92">
        <v>1368.37</v>
      </c>
    </row>
    <row r="17" spans="1:12" x14ac:dyDescent="0.25">
      <c r="A17" s="91">
        <v>46007</v>
      </c>
      <c r="B17" s="1">
        <v>2990770</v>
      </c>
      <c r="C17" s="99">
        <v>1495.385</v>
      </c>
      <c r="D17" s="91">
        <v>46038</v>
      </c>
      <c r="E17" s="1">
        <v>3201390</v>
      </c>
      <c r="F17" s="92">
        <v>1600.6949999999999</v>
      </c>
      <c r="G17" s="87">
        <v>46069</v>
      </c>
      <c r="H17" s="1">
        <v>2811710</v>
      </c>
      <c r="I17" s="92">
        <v>1405.855</v>
      </c>
      <c r="J17" s="91">
        <v>46097</v>
      </c>
      <c r="K17" s="1">
        <v>3447840</v>
      </c>
      <c r="L17" s="92">
        <v>1723.92</v>
      </c>
    </row>
    <row r="18" spans="1:12" x14ac:dyDescent="0.25">
      <c r="A18" s="91">
        <v>46008</v>
      </c>
      <c r="B18" s="1">
        <v>2039400</v>
      </c>
      <c r="C18" s="99">
        <v>1019.7</v>
      </c>
      <c r="D18" s="91">
        <v>46039</v>
      </c>
      <c r="E18" s="1">
        <v>3362830</v>
      </c>
      <c r="F18" s="92">
        <v>1681.415</v>
      </c>
      <c r="G18" s="87">
        <v>46070</v>
      </c>
      <c r="H18" s="1">
        <v>2883340</v>
      </c>
      <c r="I18" s="92">
        <v>1441.67</v>
      </c>
      <c r="J18" s="91">
        <v>46098</v>
      </c>
      <c r="K18" s="1">
        <v>3399760</v>
      </c>
      <c r="L18" s="92">
        <v>1699.88</v>
      </c>
    </row>
    <row r="19" spans="1:12" x14ac:dyDescent="0.25">
      <c r="A19" s="91">
        <v>46009</v>
      </c>
      <c r="B19" s="1">
        <v>3076960</v>
      </c>
      <c r="C19" s="99">
        <v>1538.48</v>
      </c>
      <c r="D19" s="91">
        <v>46040</v>
      </c>
      <c r="E19" s="1">
        <v>2620860</v>
      </c>
      <c r="F19" s="92">
        <v>1310.43</v>
      </c>
      <c r="G19" s="87">
        <v>46071</v>
      </c>
      <c r="H19" s="1">
        <v>3388080</v>
      </c>
      <c r="I19" s="92">
        <v>1694.04</v>
      </c>
      <c r="J19" s="91">
        <v>46099</v>
      </c>
      <c r="K19" s="1">
        <v>3161070</v>
      </c>
      <c r="L19" s="92">
        <v>1580.5350000000001</v>
      </c>
    </row>
    <row r="20" spans="1:12" x14ac:dyDescent="0.25">
      <c r="A20" s="91">
        <v>46010</v>
      </c>
      <c r="B20" s="1">
        <v>2949690</v>
      </c>
      <c r="C20" s="99">
        <v>1474.845</v>
      </c>
      <c r="D20" s="91">
        <v>46041</v>
      </c>
      <c r="E20" s="1">
        <v>2510850</v>
      </c>
      <c r="F20" s="92">
        <v>1255.425</v>
      </c>
      <c r="G20" s="87">
        <v>46072</v>
      </c>
      <c r="H20" s="1">
        <v>3000550</v>
      </c>
      <c r="I20" s="92">
        <v>1500.2750000000001</v>
      </c>
      <c r="J20" s="91">
        <v>46100</v>
      </c>
      <c r="K20" s="1">
        <v>2806930</v>
      </c>
      <c r="L20" s="92">
        <v>1403.4649999999999</v>
      </c>
    </row>
    <row r="21" spans="1:12" x14ac:dyDescent="0.25">
      <c r="A21" s="91">
        <v>46011</v>
      </c>
      <c r="B21" s="1">
        <v>3124500</v>
      </c>
      <c r="C21" s="99">
        <v>1562.25</v>
      </c>
      <c r="D21" s="91">
        <v>46042</v>
      </c>
      <c r="E21" s="1">
        <v>2070080</v>
      </c>
      <c r="F21" s="92">
        <v>1035.04</v>
      </c>
      <c r="G21" s="87">
        <v>46073</v>
      </c>
      <c r="H21" s="1">
        <v>3393570</v>
      </c>
      <c r="I21" s="92">
        <v>1696.7850000000001</v>
      </c>
      <c r="J21" s="91">
        <v>46101</v>
      </c>
      <c r="K21" s="1">
        <v>3238740</v>
      </c>
      <c r="L21" s="92">
        <v>1619.37</v>
      </c>
    </row>
    <row r="22" spans="1:12" x14ac:dyDescent="0.25">
      <c r="A22" s="91">
        <v>46012</v>
      </c>
      <c r="B22" s="1">
        <v>2944360</v>
      </c>
      <c r="C22" s="99">
        <v>1472.18</v>
      </c>
      <c r="D22" s="110">
        <v>46043</v>
      </c>
      <c r="E22" s="8">
        <v>3281370</v>
      </c>
      <c r="F22" s="111">
        <v>1640.6849999999999</v>
      </c>
      <c r="G22" s="87">
        <v>46074</v>
      </c>
      <c r="H22" s="1">
        <v>3731080</v>
      </c>
      <c r="I22" s="92">
        <v>1865.54</v>
      </c>
      <c r="J22" s="91">
        <v>46102</v>
      </c>
      <c r="K22" s="1">
        <v>3547630</v>
      </c>
      <c r="L22" s="92">
        <v>1773.8150000000001</v>
      </c>
    </row>
    <row r="23" spans="1:12" x14ac:dyDescent="0.25">
      <c r="A23" s="91">
        <v>46013</v>
      </c>
      <c r="B23" s="1">
        <v>2735310</v>
      </c>
      <c r="C23" s="99">
        <v>1367.655</v>
      </c>
      <c r="D23" s="91">
        <v>46044</v>
      </c>
      <c r="E23" s="1">
        <v>2475100</v>
      </c>
      <c r="F23" s="92">
        <v>1237.55</v>
      </c>
      <c r="G23" s="87">
        <v>46075</v>
      </c>
      <c r="H23" s="1">
        <v>3346790</v>
      </c>
      <c r="I23" s="92">
        <v>1673.395</v>
      </c>
      <c r="J23" s="91">
        <v>46103</v>
      </c>
      <c r="K23" s="1">
        <v>2876210</v>
      </c>
      <c r="L23" s="92">
        <v>1438.105</v>
      </c>
    </row>
    <row r="24" spans="1:12" x14ac:dyDescent="0.25">
      <c r="A24" s="91">
        <v>46014</v>
      </c>
      <c r="B24" s="1">
        <v>1202950</v>
      </c>
      <c r="C24" s="99">
        <v>601.47500000000002</v>
      </c>
      <c r="D24" s="91">
        <v>46045</v>
      </c>
      <c r="E24" s="1">
        <v>2151230</v>
      </c>
      <c r="F24" s="92">
        <v>1075.615</v>
      </c>
      <c r="G24" s="87">
        <v>46076</v>
      </c>
      <c r="H24" s="1">
        <v>2439620</v>
      </c>
      <c r="I24" s="92">
        <v>1219.81</v>
      </c>
      <c r="J24" s="91">
        <v>46104</v>
      </c>
      <c r="K24" s="1">
        <v>3268010</v>
      </c>
      <c r="L24" s="92">
        <v>1634.0050000000001</v>
      </c>
    </row>
    <row r="25" spans="1:12" x14ac:dyDescent="0.25">
      <c r="A25" s="91">
        <v>46017</v>
      </c>
      <c r="B25" s="1">
        <v>2845400</v>
      </c>
      <c r="C25" s="99">
        <v>1422.7</v>
      </c>
      <c r="D25" s="91">
        <v>46046</v>
      </c>
      <c r="E25" s="1">
        <v>1454720</v>
      </c>
      <c r="F25" s="92">
        <v>727.36</v>
      </c>
      <c r="G25" s="87">
        <v>46077</v>
      </c>
      <c r="H25" s="1">
        <v>2928990</v>
      </c>
      <c r="I25" s="92">
        <v>1464.4949999999999</v>
      </c>
      <c r="J25" s="91">
        <v>46105</v>
      </c>
      <c r="K25" s="1">
        <v>1926610</v>
      </c>
      <c r="L25" s="92">
        <v>963.30499999999995</v>
      </c>
    </row>
    <row r="26" spans="1:12" x14ac:dyDescent="0.25">
      <c r="A26" s="91">
        <v>46018</v>
      </c>
      <c r="B26" s="1">
        <v>2498140</v>
      </c>
      <c r="C26" s="99">
        <v>1249.07</v>
      </c>
      <c r="D26" s="91">
        <v>46047</v>
      </c>
      <c r="E26" s="1">
        <v>1796800</v>
      </c>
      <c r="F26" s="92">
        <v>898.4</v>
      </c>
      <c r="G26" s="87">
        <v>46078</v>
      </c>
      <c r="H26" s="1">
        <v>3339270</v>
      </c>
      <c r="I26" s="92">
        <v>1669.635</v>
      </c>
      <c r="J26" s="91">
        <v>46106</v>
      </c>
      <c r="K26" s="1">
        <v>2846470</v>
      </c>
      <c r="L26" s="92">
        <v>1423.2349999999999</v>
      </c>
    </row>
    <row r="27" spans="1:12" x14ac:dyDescent="0.25">
      <c r="A27" s="91">
        <v>46019</v>
      </c>
      <c r="B27" s="1">
        <v>2656250</v>
      </c>
      <c r="C27" s="99">
        <v>1328.125</v>
      </c>
      <c r="D27" s="91">
        <v>46048</v>
      </c>
      <c r="E27" s="1">
        <v>2211470</v>
      </c>
      <c r="F27" s="92">
        <v>1105.7349999999999</v>
      </c>
      <c r="G27" s="87">
        <v>46079</v>
      </c>
      <c r="H27" s="1">
        <v>3345070</v>
      </c>
      <c r="I27" s="92">
        <v>1672.5350000000001</v>
      </c>
      <c r="J27" s="91">
        <v>46107</v>
      </c>
      <c r="K27" s="1">
        <v>3285670</v>
      </c>
      <c r="L27" s="92">
        <v>1642.835</v>
      </c>
    </row>
    <row r="28" spans="1:12" x14ac:dyDescent="0.25">
      <c r="A28" s="91">
        <v>46020</v>
      </c>
      <c r="B28" s="1">
        <v>2608620</v>
      </c>
      <c r="C28" s="99">
        <v>1304.31</v>
      </c>
      <c r="D28" s="91">
        <v>46049</v>
      </c>
      <c r="E28" s="1">
        <v>958530</v>
      </c>
      <c r="F28" s="92">
        <v>479.26499999999999</v>
      </c>
      <c r="G28" s="87">
        <v>46080</v>
      </c>
      <c r="H28" s="1">
        <v>2734510</v>
      </c>
      <c r="I28" s="92">
        <v>1367.2550000000001</v>
      </c>
      <c r="J28" s="91">
        <v>46108</v>
      </c>
      <c r="K28" s="1">
        <v>2959140</v>
      </c>
      <c r="L28" s="92">
        <v>1479.57</v>
      </c>
    </row>
    <row r="29" spans="1:12" x14ac:dyDescent="0.25">
      <c r="A29" s="91">
        <v>46021</v>
      </c>
      <c r="B29" s="1">
        <v>1959250</v>
      </c>
      <c r="C29" s="99">
        <v>979.625</v>
      </c>
      <c r="D29" s="91">
        <v>46050</v>
      </c>
      <c r="E29" s="1">
        <v>2177040</v>
      </c>
      <c r="F29" s="92">
        <v>1088.52</v>
      </c>
      <c r="G29" s="87">
        <v>46081</v>
      </c>
      <c r="H29" s="1">
        <v>2163400</v>
      </c>
      <c r="I29" s="92">
        <v>1081.7</v>
      </c>
      <c r="J29" s="91">
        <v>46109</v>
      </c>
      <c r="K29" s="1">
        <v>3383620</v>
      </c>
      <c r="L29" s="92">
        <v>1691.81</v>
      </c>
    </row>
    <row r="30" spans="1:12" x14ac:dyDescent="0.25">
      <c r="A30" s="91">
        <v>46022</v>
      </c>
      <c r="B30" s="1">
        <v>3221390</v>
      </c>
      <c r="C30" s="99">
        <v>1610.6949999999999</v>
      </c>
      <c r="D30" s="91">
        <v>46051</v>
      </c>
      <c r="E30" s="1">
        <v>2064210</v>
      </c>
      <c r="F30" s="92">
        <v>1032.105</v>
      </c>
      <c r="G30" s="107" t="s">
        <v>54</v>
      </c>
      <c r="H30" s="9">
        <f>AVERAGE(H2:H29)</f>
        <v>2753157.8571428573</v>
      </c>
      <c r="I30" s="94">
        <f>AVERAGE(I2:I29)</f>
        <v>1376.5789285714288</v>
      </c>
      <c r="J30" s="91">
        <v>46110</v>
      </c>
      <c r="K30" s="1">
        <v>3549830</v>
      </c>
      <c r="L30" s="92">
        <v>1774.915</v>
      </c>
    </row>
    <row r="31" spans="1:12" ht="15.75" thickBot="1" x14ac:dyDescent="0.3">
      <c r="A31" s="93" t="s">
        <v>44</v>
      </c>
      <c r="B31" s="9">
        <f>AVERAGE(B2:B30)</f>
        <v>2558945.5172413792</v>
      </c>
      <c r="C31" s="98">
        <f>AVERAGE(C2:C30)</f>
        <v>1279.4727586206895</v>
      </c>
      <c r="D31" s="91">
        <v>46052</v>
      </c>
      <c r="E31" s="1">
        <v>1990920</v>
      </c>
      <c r="F31" s="92">
        <v>995.46</v>
      </c>
      <c r="G31" s="108" t="s">
        <v>55</v>
      </c>
      <c r="H31" s="96">
        <f>SUM(H2:H29)</f>
        <v>77088420</v>
      </c>
      <c r="I31" s="105">
        <f>SUM(I2:I29)</f>
        <v>38544.210000000006</v>
      </c>
      <c r="J31" s="123">
        <v>46111</v>
      </c>
      <c r="K31" s="1">
        <v>2540240</v>
      </c>
      <c r="L31" s="1">
        <v>1270.1199999999999</v>
      </c>
    </row>
    <row r="32" spans="1:12" ht="15.75" thickBot="1" x14ac:dyDescent="0.3">
      <c r="A32" s="95" t="s">
        <v>41</v>
      </c>
      <c r="B32" s="96">
        <f>SUM(B2:B30)</f>
        <v>74209420</v>
      </c>
      <c r="C32" s="105">
        <f>SUM(C2:C30)</f>
        <v>37104.71</v>
      </c>
      <c r="D32" s="91">
        <v>46053</v>
      </c>
      <c r="E32" s="1">
        <v>3134120</v>
      </c>
      <c r="F32" s="92">
        <v>1567.06</v>
      </c>
      <c r="H32" s="4"/>
      <c r="J32" s="103"/>
      <c r="K32" s="1"/>
      <c r="L32" s="92"/>
    </row>
    <row r="33" spans="4:12" x14ac:dyDescent="0.25">
      <c r="D33" s="93" t="s">
        <v>42</v>
      </c>
      <c r="E33" s="9">
        <f>AVERAGE(E2:E32)</f>
        <v>2630469.3548387098</v>
      </c>
      <c r="F33" s="94">
        <f>AVERAGE(F2:F32)</f>
        <v>1315.234677419355</v>
      </c>
      <c r="J33" s="93" t="s">
        <v>108</v>
      </c>
      <c r="K33" s="9">
        <f>AVERAGE(K2:K32)</f>
        <v>2985214.3333333335</v>
      </c>
      <c r="L33" s="94">
        <f>AVERAGE(L2:L32)</f>
        <v>1492.6071666666664</v>
      </c>
    </row>
    <row r="34" spans="4:12" ht="15.75" thickBot="1" x14ac:dyDescent="0.3">
      <c r="D34" s="95" t="s">
        <v>43</v>
      </c>
      <c r="E34" s="96">
        <f>SUM(E2:E32)</f>
        <v>81544550</v>
      </c>
      <c r="F34" s="97">
        <f>SUM(F2:F32)</f>
        <v>40772.275000000001</v>
      </c>
      <c r="J34" s="95" t="s">
        <v>107</v>
      </c>
      <c r="K34" s="96">
        <f>SUM(K2:K32)</f>
        <v>89556430</v>
      </c>
      <c r="L34" s="97">
        <f>SUM(L2:L32)</f>
        <v>44778.214999999997</v>
      </c>
    </row>
    <row r="36" spans="4:12" x14ac:dyDescent="0.25">
      <c r="L36" s="4"/>
    </row>
    <row r="37" spans="4:12" x14ac:dyDescent="0.25">
      <c r="L37" s="4"/>
    </row>
    <row r="38" spans="4:12" x14ac:dyDescent="0.25">
      <c r="H38" s="4"/>
      <c r="L38" s="4"/>
    </row>
    <row r="39" spans="4:12" x14ac:dyDescent="0.25">
      <c r="H39" s="4"/>
      <c r="L39" s="4"/>
    </row>
    <row r="40" spans="4:12" x14ac:dyDescent="0.25">
      <c r="L40" s="4"/>
    </row>
    <row r="41" spans="4:12" x14ac:dyDescent="0.25">
      <c r="L41" s="4"/>
    </row>
    <row r="42" spans="4:12" x14ac:dyDescent="0.25">
      <c r="L42" s="4"/>
    </row>
    <row r="43" spans="4:12" x14ac:dyDescent="0.25">
      <c r="L43" s="4"/>
    </row>
    <row r="44" spans="4:12" x14ac:dyDescent="0.25">
      <c r="L44" s="4"/>
    </row>
    <row r="45" spans="4:12" x14ac:dyDescent="0.25">
      <c r="L45" s="4"/>
    </row>
    <row r="46" spans="4:12" x14ac:dyDescent="0.25">
      <c r="L46" s="4"/>
    </row>
    <row r="47" spans="4:12" x14ac:dyDescent="0.25">
      <c r="L47" s="4"/>
    </row>
    <row r="48" spans="4:12" x14ac:dyDescent="0.25">
      <c r="L48" s="4"/>
    </row>
    <row r="49" spans="10:12" x14ac:dyDescent="0.25">
      <c r="L49" s="4"/>
    </row>
    <row r="57" spans="10:12" x14ac:dyDescent="0.25">
      <c r="K57" s="4"/>
    </row>
    <row r="58" spans="10:12" x14ac:dyDescent="0.25">
      <c r="K58" s="4"/>
    </row>
    <row r="59" spans="10:12" x14ac:dyDescent="0.25">
      <c r="K59" s="4"/>
    </row>
    <row r="60" spans="10:12" x14ac:dyDescent="0.25">
      <c r="K60" s="4"/>
    </row>
    <row r="61" spans="10:12" x14ac:dyDescent="0.25">
      <c r="K61" s="4"/>
    </row>
    <row r="62" spans="10:12" x14ac:dyDescent="0.25">
      <c r="J62" s="4"/>
    </row>
    <row r="63" spans="10:12" x14ac:dyDescent="0.25">
      <c r="J63" s="4"/>
    </row>
    <row r="64" spans="10:12" x14ac:dyDescent="0.25">
      <c r="J64" s="4"/>
    </row>
    <row r="65" spans="10:11" x14ac:dyDescent="0.25">
      <c r="J65" s="4"/>
    </row>
    <row r="67" spans="10:11" x14ac:dyDescent="0.25">
      <c r="K67" s="4"/>
    </row>
    <row r="68" spans="10:11" x14ac:dyDescent="0.25">
      <c r="K68" s="4"/>
    </row>
    <row r="69" spans="10:11" x14ac:dyDescent="0.25">
      <c r="K69" s="4"/>
    </row>
    <row r="70" spans="10:11" x14ac:dyDescent="0.25">
      <c r="K70" s="4"/>
    </row>
    <row r="71" spans="10:11" x14ac:dyDescent="0.25">
      <c r="K71" s="4"/>
    </row>
    <row r="110" spans="2:3" x14ac:dyDescent="0.25">
      <c r="B110" s="2"/>
      <c r="C110" s="5"/>
    </row>
    <row r="111" spans="2:3" x14ac:dyDescent="0.25">
      <c r="B111" s="2"/>
      <c r="C111" s="5"/>
    </row>
    <row r="112" spans="2:3" x14ac:dyDescent="0.25">
      <c r="B112" s="2"/>
      <c r="C112" s="5"/>
    </row>
    <row r="113" spans="2:3" x14ac:dyDescent="0.25">
      <c r="B113" s="2"/>
      <c r="C113" s="5"/>
    </row>
    <row r="114" spans="2:3" x14ac:dyDescent="0.25">
      <c r="B114" s="2"/>
      <c r="C114" s="5"/>
    </row>
    <row r="115" spans="2:3" x14ac:dyDescent="0.25">
      <c r="B115" s="2"/>
      <c r="C115" s="5"/>
    </row>
    <row r="116" spans="2:3" x14ac:dyDescent="0.25">
      <c r="B116" s="2"/>
      <c r="C116" s="5"/>
    </row>
    <row r="117" spans="2:3" x14ac:dyDescent="0.25">
      <c r="B117" s="2"/>
      <c r="C117" s="5"/>
    </row>
    <row r="118" spans="2:3" x14ac:dyDescent="0.25">
      <c r="B118" s="2"/>
      <c r="C118" s="5"/>
    </row>
    <row r="119" spans="2:3" x14ac:dyDescent="0.25">
      <c r="B119" s="2"/>
      <c r="C119" s="5"/>
    </row>
    <row r="120" spans="2:3" x14ac:dyDescent="0.25">
      <c r="B120" s="2"/>
      <c r="C120" s="5"/>
    </row>
    <row r="121" spans="2:3" x14ac:dyDescent="0.25">
      <c r="B121" s="2"/>
      <c r="C121" s="5"/>
    </row>
    <row r="122" spans="2:3" x14ac:dyDescent="0.25">
      <c r="B122" s="2"/>
      <c r="C122" s="5"/>
    </row>
    <row r="123" spans="2:3" x14ac:dyDescent="0.25">
      <c r="B123" s="2"/>
      <c r="C123" s="5"/>
    </row>
    <row r="124" spans="2:3" x14ac:dyDescent="0.25">
      <c r="B124" s="2"/>
      <c r="C124" s="5"/>
    </row>
  </sheetData>
  <conditionalFormatting sqref="A1:F10">
    <cfRule type="expression" dxfId="71" priority="91">
      <formula>#REF!="Depleted"</formula>
    </cfRule>
    <cfRule type="expression" dxfId="70" priority="92">
      <formula>#REF!="Priority Target"</formula>
    </cfRule>
    <cfRule type="expression" dxfId="69" priority="93">
      <formula>#REF!="Stop Receiving"</formula>
    </cfRule>
  </conditionalFormatting>
  <conditionalFormatting sqref="B110:B119 B121:B124">
    <cfRule type="expression" dxfId="68" priority="67">
      <formula>$I57="Depleted"</formula>
    </cfRule>
    <cfRule type="expression" dxfId="67" priority="68">
      <formula>$I57="Priority Target"</formula>
    </cfRule>
    <cfRule type="expression" dxfId="66" priority="69">
      <formula>$I57="Stop Receiving"</formula>
    </cfRule>
  </conditionalFormatting>
  <conditionalFormatting sqref="B120">
    <cfRule type="expression" dxfId="65" priority="73">
      <formula>$I72="Depleted"</formula>
    </cfRule>
    <cfRule type="expression" dxfId="64" priority="74">
      <formula>$I72="Priority Target"</formula>
    </cfRule>
    <cfRule type="expression" dxfId="63" priority="75">
      <formula>$I72="Stop Receiving"</formula>
    </cfRule>
  </conditionalFormatting>
  <pageMargins left="0.7" right="0.7" top="0.75" bottom="0.75" header="0.3" footer="0.3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A807A-09FB-439B-8E2D-65BAA39F6EEA}">
  <dimension ref="A1:K22"/>
  <sheetViews>
    <sheetView workbookViewId="0">
      <selection activeCell="H20" sqref="H20"/>
    </sheetView>
  </sheetViews>
  <sheetFormatPr defaultRowHeight="15" x14ac:dyDescent="0.25"/>
  <cols>
    <col min="1" max="1" width="8.140625" bestFit="1" customWidth="1"/>
    <col min="2" max="2" width="24.140625" bestFit="1" customWidth="1"/>
    <col min="3" max="3" width="1.42578125" customWidth="1"/>
    <col min="4" max="4" width="4.7109375" bestFit="1" customWidth="1"/>
    <col min="5" max="5" width="18.5703125" bestFit="1" customWidth="1"/>
    <col min="6" max="6" width="0.85546875" customWidth="1"/>
    <col min="7" max="7" width="4.140625" bestFit="1" customWidth="1"/>
    <col min="8" max="8" width="15.28515625" customWidth="1"/>
    <col min="9" max="9" width="1.42578125" customWidth="1"/>
    <col min="10" max="10" width="4.85546875" bestFit="1" customWidth="1"/>
    <col min="11" max="11" width="16.28515625" bestFit="1" customWidth="1"/>
  </cols>
  <sheetData>
    <row r="1" spans="1:11" x14ac:dyDescent="0.25">
      <c r="A1" s="112" t="s">
        <v>10</v>
      </c>
      <c r="B1" s="113"/>
      <c r="D1" s="112" t="s">
        <v>11</v>
      </c>
      <c r="E1" s="113"/>
      <c r="G1" s="114" t="s">
        <v>50</v>
      </c>
      <c r="H1" s="113"/>
      <c r="J1" s="112" t="s">
        <v>109</v>
      </c>
      <c r="K1" s="113"/>
    </row>
    <row r="2" spans="1:11" x14ac:dyDescent="0.25">
      <c r="A2" s="3">
        <v>443</v>
      </c>
      <c r="B2" s="3" t="s">
        <v>34</v>
      </c>
      <c r="D2" s="3">
        <v>943</v>
      </c>
      <c r="E2" s="3" t="s">
        <v>4</v>
      </c>
      <c r="G2" s="109">
        <v>154</v>
      </c>
      <c r="H2" s="3" t="s">
        <v>49</v>
      </c>
      <c r="J2" s="3">
        <v>613</v>
      </c>
      <c r="K2" s="24" t="s">
        <v>52</v>
      </c>
    </row>
    <row r="3" spans="1:11" x14ac:dyDescent="0.25">
      <c r="A3" s="3">
        <v>914</v>
      </c>
      <c r="B3" s="3" t="s">
        <v>0</v>
      </c>
      <c r="D3" s="3">
        <v>312</v>
      </c>
      <c r="E3" s="3" t="s">
        <v>6</v>
      </c>
      <c r="G3" s="3">
        <v>596</v>
      </c>
      <c r="H3" s="3" t="s">
        <v>39</v>
      </c>
      <c r="J3" s="24">
        <v>915</v>
      </c>
      <c r="K3" s="24" t="s">
        <v>0</v>
      </c>
    </row>
    <row r="4" spans="1:11" x14ac:dyDescent="0.25">
      <c r="A4" s="3">
        <v>783</v>
      </c>
      <c r="B4" s="3" t="s">
        <v>1</v>
      </c>
      <c r="D4" s="3">
        <v>289</v>
      </c>
      <c r="E4" s="3" t="s">
        <v>7</v>
      </c>
      <c r="G4" s="3">
        <v>172</v>
      </c>
      <c r="H4" s="3" t="s">
        <v>51</v>
      </c>
      <c r="J4" s="3">
        <v>902</v>
      </c>
      <c r="K4" s="3" t="s">
        <v>80</v>
      </c>
    </row>
    <row r="5" spans="1:11" x14ac:dyDescent="0.25">
      <c r="A5" s="3" t="s">
        <v>3</v>
      </c>
      <c r="B5" s="3" t="s">
        <v>2</v>
      </c>
      <c r="D5" s="3" t="s">
        <v>9</v>
      </c>
      <c r="E5" s="3" t="s">
        <v>8</v>
      </c>
      <c r="G5" s="3">
        <v>612</v>
      </c>
      <c r="H5" s="3" t="s">
        <v>52</v>
      </c>
      <c r="J5" s="3">
        <v>614</v>
      </c>
      <c r="K5" s="24" t="s">
        <v>52</v>
      </c>
    </row>
    <row r="6" spans="1:11" x14ac:dyDescent="0.25">
      <c r="A6" s="3">
        <v>629</v>
      </c>
      <c r="B6" s="3" t="s">
        <v>16</v>
      </c>
      <c r="D6" s="7">
        <v>952</v>
      </c>
      <c r="E6" s="7" t="s">
        <v>40</v>
      </c>
      <c r="G6" s="3">
        <v>659</v>
      </c>
      <c r="H6" s="3" t="s">
        <v>53</v>
      </c>
      <c r="J6" s="3" t="s">
        <v>123</v>
      </c>
      <c r="K6" s="3" t="s">
        <v>231</v>
      </c>
    </row>
    <row r="7" spans="1:11" x14ac:dyDescent="0.25">
      <c r="A7" s="3" t="s">
        <v>18</v>
      </c>
      <c r="B7" s="3" t="s">
        <v>17</v>
      </c>
      <c r="D7" s="3" t="s">
        <v>45</v>
      </c>
      <c r="E7" s="3" t="s">
        <v>46</v>
      </c>
      <c r="G7" s="3">
        <v>951</v>
      </c>
      <c r="H7" s="3" t="s">
        <v>40</v>
      </c>
      <c r="J7" s="3">
        <v>370</v>
      </c>
      <c r="K7" s="3" t="s">
        <v>124</v>
      </c>
    </row>
    <row r="8" spans="1:11" x14ac:dyDescent="0.25">
      <c r="A8" s="3" t="s">
        <v>30</v>
      </c>
      <c r="B8" s="3" t="s">
        <v>19</v>
      </c>
      <c r="D8" s="3">
        <v>445</v>
      </c>
      <c r="E8" s="3" t="s">
        <v>47</v>
      </c>
      <c r="G8" s="24" t="s">
        <v>72</v>
      </c>
      <c r="H8" s="24" t="s">
        <v>73</v>
      </c>
      <c r="J8" s="3" t="s">
        <v>72</v>
      </c>
      <c r="K8" s="3" t="s">
        <v>125</v>
      </c>
    </row>
    <row r="9" spans="1:11" x14ac:dyDescent="0.25">
      <c r="A9" s="3">
        <v>922</v>
      </c>
      <c r="B9" s="3" t="s">
        <v>20</v>
      </c>
      <c r="D9" s="3">
        <v>957</v>
      </c>
      <c r="E9" s="3" t="s">
        <v>48</v>
      </c>
      <c r="G9" s="24">
        <v>901</v>
      </c>
      <c r="H9" s="24" t="s">
        <v>80</v>
      </c>
      <c r="J9" s="3">
        <v>518</v>
      </c>
      <c r="K9" s="24" t="s">
        <v>127</v>
      </c>
    </row>
    <row r="10" spans="1:11" x14ac:dyDescent="0.25">
      <c r="A10" s="3" t="s">
        <v>21</v>
      </c>
      <c r="B10" s="3" t="s">
        <v>22</v>
      </c>
      <c r="G10" s="3" t="s">
        <v>72</v>
      </c>
      <c r="H10" s="24" t="s">
        <v>81</v>
      </c>
      <c r="J10" s="3">
        <v>418</v>
      </c>
      <c r="K10" s="24" t="s">
        <v>24</v>
      </c>
    </row>
    <row r="11" spans="1:11" x14ac:dyDescent="0.25">
      <c r="A11" s="3" t="s">
        <v>15</v>
      </c>
      <c r="B11" s="3" t="s">
        <v>23</v>
      </c>
      <c r="G11" s="24">
        <v>313</v>
      </c>
      <c r="H11" s="24" t="s">
        <v>6</v>
      </c>
      <c r="J11" s="3" t="s">
        <v>72</v>
      </c>
      <c r="K11" s="24" t="s">
        <v>129</v>
      </c>
    </row>
    <row r="12" spans="1:11" x14ac:dyDescent="0.25">
      <c r="A12" s="3">
        <v>417</v>
      </c>
      <c r="B12" s="3" t="s">
        <v>24</v>
      </c>
      <c r="G12" s="24">
        <v>580</v>
      </c>
      <c r="H12" s="24" t="s">
        <v>5</v>
      </c>
      <c r="J12" s="3">
        <v>419</v>
      </c>
      <c r="K12" s="24" t="s">
        <v>24</v>
      </c>
    </row>
    <row r="13" spans="1:11" x14ac:dyDescent="0.25">
      <c r="A13" s="3">
        <v>233</v>
      </c>
      <c r="B13" s="3" t="s">
        <v>25</v>
      </c>
    </row>
    <row r="14" spans="1:11" x14ac:dyDescent="0.25">
      <c r="A14" s="3">
        <v>383</v>
      </c>
      <c r="B14" s="3" t="s">
        <v>26</v>
      </c>
    </row>
    <row r="15" spans="1:11" x14ac:dyDescent="0.25">
      <c r="A15" s="3" t="s">
        <v>29</v>
      </c>
      <c r="B15" s="6" t="s">
        <v>37</v>
      </c>
    </row>
    <row r="16" spans="1:11" x14ac:dyDescent="0.25">
      <c r="A16" s="3" t="s">
        <v>27</v>
      </c>
      <c r="B16" s="6" t="s">
        <v>5</v>
      </c>
    </row>
    <row r="17" spans="1:2" x14ac:dyDescent="0.25">
      <c r="A17" s="3" t="s">
        <v>32</v>
      </c>
      <c r="B17" s="6" t="s">
        <v>33</v>
      </c>
    </row>
    <row r="18" spans="1:2" x14ac:dyDescent="0.25">
      <c r="A18" s="3">
        <v>165</v>
      </c>
      <c r="B18" s="6" t="s">
        <v>35</v>
      </c>
    </row>
    <row r="19" spans="1:2" x14ac:dyDescent="0.25">
      <c r="A19" s="3">
        <v>444</v>
      </c>
      <c r="B19" s="6" t="s">
        <v>36</v>
      </c>
    </row>
    <row r="20" spans="1:2" x14ac:dyDescent="0.25">
      <c r="A20" s="3">
        <v>589</v>
      </c>
      <c r="B20" s="6" t="s">
        <v>5</v>
      </c>
    </row>
    <row r="21" spans="1:2" x14ac:dyDescent="0.25">
      <c r="A21" s="3" t="s">
        <v>31</v>
      </c>
      <c r="B21" s="6" t="s">
        <v>38</v>
      </c>
    </row>
    <row r="22" spans="1:2" x14ac:dyDescent="0.25">
      <c r="A22" s="3" t="s">
        <v>28</v>
      </c>
      <c r="B22" s="6" t="s">
        <v>39</v>
      </c>
    </row>
  </sheetData>
  <mergeCells count="4">
    <mergeCell ref="A1:B1"/>
    <mergeCell ref="D1:E1"/>
    <mergeCell ref="G1:H1"/>
    <mergeCell ref="J1:K1"/>
  </mergeCells>
  <conditionalFormatting sqref="A15">
    <cfRule type="expression" dxfId="62" priority="15">
      <formula>$I18="Stop Receiving"</formula>
    </cfRule>
    <cfRule type="expression" dxfId="61" priority="13">
      <formula>$I18="Depleted"</formula>
    </cfRule>
    <cfRule type="expression" dxfId="60" priority="14">
      <formula>$I18="Priority Target"</formula>
    </cfRule>
  </conditionalFormatting>
  <conditionalFormatting sqref="A15:A16">
    <cfRule type="expression" dxfId="59" priority="57">
      <formula>$G8="Stop Receiving"</formula>
    </cfRule>
    <cfRule type="expression" dxfId="58" priority="55">
      <formula>$G8="Depleted"</formula>
    </cfRule>
    <cfRule type="expression" dxfId="57" priority="56">
      <formula>$G8="Priority Target"</formula>
    </cfRule>
  </conditionalFormatting>
  <conditionalFormatting sqref="A16">
    <cfRule type="expression" dxfId="56" priority="60">
      <formula>$G10="Stop Receiving"</formula>
    </cfRule>
    <cfRule type="expression" dxfId="55" priority="59">
      <formula>$G10="Priority Target"</formula>
    </cfRule>
    <cfRule type="expression" dxfId="54" priority="58">
      <formula>$G10="Depleted"</formula>
    </cfRule>
  </conditionalFormatting>
  <conditionalFormatting sqref="A17">
    <cfRule type="expression" dxfId="53" priority="41">
      <formula>$G1048568="Priority Target"</formula>
    </cfRule>
    <cfRule type="expression" dxfId="52" priority="40">
      <formula>$G1048568="Depleted"</formula>
    </cfRule>
    <cfRule type="expression" dxfId="51" priority="42">
      <formula>$G1048568="Stop Receiving"</formula>
    </cfRule>
    <cfRule type="expression" dxfId="50" priority="39">
      <formula>$G1048572="Stop Receiving"</formula>
    </cfRule>
    <cfRule type="expression" dxfId="49" priority="38">
      <formula>$G1048572="Priority Target"</formula>
    </cfRule>
    <cfRule type="expression" dxfId="48" priority="37">
      <formula>$G1048572="Depleted"</formula>
    </cfRule>
  </conditionalFormatting>
  <conditionalFormatting sqref="A20">
    <cfRule type="expression" dxfId="47" priority="16">
      <formula>$I1048575="Depleted"</formula>
    </cfRule>
    <cfRule type="expression" dxfId="46" priority="17">
      <formula>$I1048575="Priority Target"</formula>
    </cfRule>
    <cfRule type="expression" dxfId="45" priority="18">
      <formula>$I1048575="Stop Receiving"</formula>
    </cfRule>
  </conditionalFormatting>
  <conditionalFormatting sqref="A21">
    <cfRule type="expression" dxfId="44" priority="49">
      <formula>#REF!="Depleted"</formula>
    </cfRule>
    <cfRule type="expression" dxfId="43" priority="51">
      <formula>#REF!="Stop Receiving"</formula>
    </cfRule>
    <cfRule type="expression" dxfId="42" priority="50">
      <formula>#REF!="Priority Target"</formula>
    </cfRule>
    <cfRule type="expression" dxfId="41" priority="48">
      <formula>$I25="Stop Receiving"</formula>
    </cfRule>
    <cfRule type="expression" dxfId="40" priority="47">
      <formula>$I25="Priority Target"</formula>
    </cfRule>
    <cfRule type="expression" dxfId="39" priority="46">
      <formula>$I25="Depleted"</formula>
    </cfRule>
  </conditionalFormatting>
  <conditionalFormatting sqref="A22">
    <cfRule type="expression" dxfId="38" priority="19">
      <formula>$I17="Depleted"</formula>
    </cfRule>
    <cfRule type="expression" dxfId="37" priority="20">
      <formula>$I17="Priority Target"</formula>
    </cfRule>
    <cfRule type="expression" dxfId="36" priority="21">
      <formula>$I17="Stop Receiving"</formula>
    </cfRule>
  </conditionalFormatting>
  <conditionalFormatting sqref="A2:B22">
    <cfRule type="expression" dxfId="35" priority="27">
      <formula>#REF!="Stop Receiving"</formula>
    </cfRule>
    <cfRule type="expression" dxfId="34" priority="25">
      <formula>#REF!="Depleted"</formula>
    </cfRule>
    <cfRule type="expression" dxfId="33" priority="26">
      <formula>#REF!="Priority Target"</formula>
    </cfRule>
  </conditionalFormatting>
  <conditionalFormatting sqref="B2:B12">
    <cfRule type="expression" dxfId="32" priority="22">
      <formula>#REF!="Depleted"</formula>
    </cfRule>
    <cfRule type="expression" dxfId="31" priority="24">
      <formula>#REF!="Stop Receiving"</formula>
    </cfRule>
    <cfRule type="expression" dxfId="30" priority="23">
      <formula>#REF!="Priority Target"</formula>
    </cfRule>
  </conditionalFormatting>
  <conditionalFormatting sqref="B6 A18">
    <cfRule type="expression" dxfId="29" priority="34">
      <formula>#REF!="Depleted"</formula>
    </cfRule>
    <cfRule type="expression" dxfId="28" priority="35">
      <formula>#REF!="Priority Target"</formula>
    </cfRule>
    <cfRule type="expression" dxfId="27" priority="36">
      <formula>#REF!="Stop Receiving"</formula>
    </cfRule>
  </conditionalFormatting>
  <conditionalFormatting sqref="B7">
    <cfRule type="expression" dxfId="26" priority="30">
      <formula>$I1048575="Stop Receiving"</formula>
    </cfRule>
    <cfRule type="expression" dxfId="25" priority="29">
      <formula>$I1048575="Priority Target"</formula>
    </cfRule>
    <cfRule type="expression" dxfId="24" priority="28">
      <formula>$I1048575="Depleted"</formula>
    </cfRule>
  </conditionalFormatting>
  <conditionalFormatting sqref="B8">
    <cfRule type="expression" dxfId="23" priority="12">
      <formula>$I1048575="Stop Receiving"</formula>
    </cfRule>
    <cfRule type="expression" dxfId="22" priority="11">
      <formula>$I1048575="Priority Target"</formula>
    </cfRule>
    <cfRule type="expression" dxfId="21" priority="10">
      <formula>$I1048575="Depleted"</formula>
    </cfRule>
  </conditionalFormatting>
  <conditionalFormatting sqref="B9">
    <cfRule type="expression" dxfId="20" priority="52">
      <formula>$G8="Depleted"</formula>
    </cfRule>
    <cfRule type="expression" dxfId="19" priority="53">
      <formula>$G8="Priority Target"</formula>
    </cfRule>
    <cfRule type="expression" dxfId="18" priority="54">
      <formula>$G8="Stop Receiving"</formula>
    </cfRule>
  </conditionalFormatting>
  <conditionalFormatting sqref="B10">
    <cfRule type="expression" dxfId="17" priority="33">
      <formula>$I1048575="Stop Receiving"</formula>
    </cfRule>
    <cfRule type="expression" dxfId="16" priority="31">
      <formula>$I1048575="Depleted"</formula>
    </cfRule>
    <cfRule type="expression" dxfId="15" priority="32">
      <formula>$I1048575="Priority Target"</formula>
    </cfRule>
  </conditionalFormatting>
  <conditionalFormatting sqref="B11">
    <cfRule type="expression" dxfId="14" priority="43">
      <formula>$G1048567="Depleted"</formula>
    </cfRule>
    <cfRule type="expression" dxfId="13" priority="44">
      <formula>$G1048567="Priority Target"</formula>
    </cfRule>
    <cfRule type="expression" dxfId="12" priority="45">
      <formula>$G1048567="Stop Receiving"</formula>
    </cfRule>
  </conditionalFormatting>
  <conditionalFormatting sqref="B12">
    <cfRule type="expression" dxfId="11" priority="63">
      <formula>$G9="Stop Receiving"</formula>
    </cfRule>
    <cfRule type="expression" dxfId="10" priority="61">
      <formula>$G9="Depleted"</formula>
    </cfRule>
    <cfRule type="expression" dxfId="9" priority="62">
      <formula>$G9="Priority Target"</formula>
    </cfRule>
  </conditionalFormatting>
  <conditionalFormatting sqref="D2:E6 E7 D8:E9">
    <cfRule type="expression" dxfId="8" priority="9">
      <formula>#REF!="Stop Receiving"</formula>
    </cfRule>
    <cfRule type="expression" dxfId="7" priority="8">
      <formula>#REF!="Priority Target"</formula>
    </cfRule>
    <cfRule type="expression" dxfId="6" priority="7">
      <formula>#REF!="Depleted"</formula>
    </cfRule>
  </conditionalFormatting>
  <conditionalFormatting sqref="E2">
    <cfRule type="expression" dxfId="5" priority="3">
      <formula>$I26="Stop Receiving"</formula>
    </cfRule>
    <cfRule type="expression" dxfId="4" priority="1">
      <formula>$I26="Depleted"</formula>
    </cfRule>
    <cfRule type="expression" dxfId="3" priority="2">
      <formula>$I26="Priority Target"</formula>
    </cfRule>
  </conditionalFormatting>
  <conditionalFormatting sqref="E3:E9">
    <cfRule type="expression" dxfId="2" priority="6">
      <formula>$I28="Stop Receiving"</formula>
    </cfRule>
    <cfRule type="expression" dxfId="1" priority="5">
      <formula>$I28="Priority Target"</formula>
    </cfRule>
    <cfRule type="expression" dxfId="0" priority="4">
      <formula>$I28="Depleted"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U91"/>
  <sheetViews>
    <sheetView workbookViewId="0">
      <selection activeCell="Y8" sqref="Y8"/>
    </sheetView>
  </sheetViews>
  <sheetFormatPr defaultRowHeight="15" x14ac:dyDescent="0.25"/>
  <cols>
    <col min="1" max="1" width="13.5703125" style="2" bestFit="1" customWidth="1"/>
    <col min="2" max="2" width="8.28515625" style="2" bestFit="1" customWidth="1"/>
    <col min="3" max="3" width="5.5703125" style="2" bestFit="1" customWidth="1"/>
    <col min="4" max="4" width="4" style="2" bestFit="1" customWidth="1"/>
    <col min="5" max="5" width="8.42578125" style="2" bestFit="1" customWidth="1"/>
    <col min="6" max="6" width="8.5703125" style="2" bestFit="1" customWidth="1"/>
    <col min="7" max="7" width="12.28515625" style="2" bestFit="1" customWidth="1"/>
    <col min="8" max="8" width="14.7109375" style="2" bestFit="1" customWidth="1"/>
    <col min="9" max="9" width="8.28515625" style="2" bestFit="1" customWidth="1"/>
    <col min="10" max="10" width="5.5703125" style="2" bestFit="1" customWidth="1"/>
    <col min="11" max="11" width="4" style="2" bestFit="1" customWidth="1"/>
    <col min="12" max="12" width="8.42578125" style="2" bestFit="1" customWidth="1"/>
    <col min="13" max="13" width="8.5703125" style="2" bestFit="1" customWidth="1"/>
    <col min="14" max="15" width="12.28515625" style="2" bestFit="1" customWidth="1"/>
    <col min="16" max="16" width="8.28515625" style="2" bestFit="1" customWidth="1"/>
    <col min="17" max="17" width="5.5703125" style="2" bestFit="1" customWidth="1"/>
    <col min="18" max="18" width="4.140625" style="2" bestFit="1" customWidth="1"/>
    <col min="19" max="19" width="8.42578125" style="2" bestFit="1" customWidth="1"/>
    <col min="20" max="20" width="8.5703125" style="2" bestFit="1" customWidth="1"/>
    <col min="21" max="21" width="12.28515625" style="2" bestFit="1" customWidth="1"/>
    <col min="22" max="16384" width="9.140625" style="2"/>
  </cols>
  <sheetData>
    <row r="1" spans="1:21" ht="15.75" thickBot="1" x14ac:dyDescent="0.3">
      <c r="A1" s="31" t="s">
        <v>56</v>
      </c>
      <c r="B1" s="32" t="s">
        <v>57</v>
      </c>
      <c r="C1" s="32" t="s">
        <v>58</v>
      </c>
      <c r="D1" s="32" t="s">
        <v>59</v>
      </c>
      <c r="E1" s="32" t="s">
        <v>60</v>
      </c>
      <c r="F1" s="32" t="s">
        <v>61</v>
      </c>
      <c r="G1" s="33" t="s">
        <v>62</v>
      </c>
      <c r="H1" s="31" t="s">
        <v>56</v>
      </c>
      <c r="I1" s="32" t="s">
        <v>57</v>
      </c>
      <c r="J1" s="32" t="s">
        <v>58</v>
      </c>
      <c r="K1" s="32" t="s">
        <v>59</v>
      </c>
      <c r="L1" s="32" t="s">
        <v>60</v>
      </c>
      <c r="M1" s="32" t="s">
        <v>61</v>
      </c>
      <c r="N1" s="33" t="s">
        <v>62</v>
      </c>
      <c r="O1" s="34" t="s">
        <v>56</v>
      </c>
      <c r="P1" s="32" t="s">
        <v>57</v>
      </c>
      <c r="Q1" s="32" t="s">
        <v>58</v>
      </c>
      <c r="R1" s="32" t="s">
        <v>59</v>
      </c>
      <c r="S1" s="32" t="s">
        <v>60</v>
      </c>
      <c r="T1" s="32" t="s">
        <v>61</v>
      </c>
      <c r="U1" s="33" t="s">
        <v>62</v>
      </c>
    </row>
    <row r="2" spans="1:21" x14ac:dyDescent="0.25">
      <c r="A2" s="21">
        <v>46032</v>
      </c>
      <c r="B2" s="22">
        <v>16000</v>
      </c>
      <c r="C2" s="22" t="s">
        <v>63</v>
      </c>
      <c r="D2" s="22">
        <v>401</v>
      </c>
      <c r="E2" s="22">
        <v>8</v>
      </c>
      <c r="F2" s="22">
        <v>2</v>
      </c>
      <c r="G2" s="23">
        <v>16</v>
      </c>
      <c r="H2" s="21">
        <v>46063</v>
      </c>
      <c r="I2" s="22">
        <v>10300</v>
      </c>
      <c r="J2" s="22" t="s">
        <v>71</v>
      </c>
      <c r="K2" s="22">
        <v>596</v>
      </c>
      <c r="L2" s="22">
        <v>5.15</v>
      </c>
      <c r="M2" s="22">
        <v>3</v>
      </c>
      <c r="N2" s="22">
        <v>15.45</v>
      </c>
      <c r="O2" s="21">
        <v>46091</v>
      </c>
      <c r="P2" s="22">
        <v>24050</v>
      </c>
      <c r="Q2" s="22" t="s">
        <v>66</v>
      </c>
      <c r="R2" s="22">
        <v>321</v>
      </c>
      <c r="S2" s="22">
        <v>12.025</v>
      </c>
      <c r="T2" s="22">
        <v>3</v>
      </c>
      <c r="U2" s="23">
        <v>36.075000000000003</v>
      </c>
    </row>
    <row r="3" spans="1:21" x14ac:dyDescent="0.25">
      <c r="A3" s="10">
        <v>46032</v>
      </c>
      <c r="B3" s="2">
        <v>8950</v>
      </c>
      <c r="C3" s="2" t="s">
        <v>63</v>
      </c>
      <c r="D3" s="2">
        <v>401</v>
      </c>
      <c r="E3" s="2">
        <v>4.4749999999999899</v>
      </c>
      <c r="F3" s="2">
        <v>2</v>
      </c>
      <c r="G3" s="11">
        <v>8.9499999999999904</v>
      </c>
      <c r="H3" s="10">
        <v>46063</v>
      </c>
      <c r="I3" s="2">
        <v>14700</v>
      </c>
      <c r="J3" s="2" t="s">
        <v>65</v>
      </c>
      <c r="K3" s="2">
        <v>384</v>
      </c>
      <c r="L3" s="2">
        <v>7.35</v>
      </c>
      <c r="M3" s="2">
        <v>4</v>
      </c>
      <c r="N3" s="2">
        <v>29.4</v>
      </c>
      <c r="O3" s="10">
        <v>46091</v>
      </c>
      <c r="P3" s="2">
        <v>50900</v>
      </c>
      <c r="Q3" s="2" t="s">
        <v>65</v>
      </c>
      <c r="R3" s="2">
        <v>384</v>
      </c>
      <c r="S3" s="2">
        <v>25.45</v>
      </c>
      <c r="T3" s="2">
        <v>3</v>
      </c>
      <c r="U3" s="11">
        <v>76.349999999999895</v>
      </c>
    </row>
    <row r="4" spans="1:21" x14ac:dyDescent="0.25">
      <c r="A4" s="10">
        <v>46032</v>
      </c>
      <c r="B4" s="2">
        <v>12850</v>
      </c>
      <c r="C4" s="2" t="s">
        <v>64</v>
      </c>
      <c r="D4" s="2">
        <v>260</v>
      </c>
      <c r="E4" s="2">
        <v>6.4249999999999901</v>
      </c>
      <c r="F4" s="2">
        <v>3</v>
      </c>
      <c r="G4" s="11">
        <v>19.274999999999899</v>
      </c>
      <c r="H4" s="10">
        <v>46065</v>
      </c>
      <c r="I4" s="2">
        <v>22650</v>
      </c>
      <c r="J4" s="2" t="s">
        <v>70</v>
      </c>
      <c r="K4" s="2">
        <v>951</v>
      </c>
      <c r="L4" s="2">
        <v>11.3249999999999</v>
      </c>
      <c r="M4" s="2">
        <v>5</v>
      </c>
      <c r="N4" s="2">
        <v>56.625</v>
      </c>
      <c r="O4" s="10">
        <v>46091</v>
      </c>
      <c r="P4" s="2">
        <v>20250</v>
      </c>
      <c r="Q4" s="2" t="s">
        <v>119</v>
      </c>
      <c r="R4" s="2">
        <v>952</v>
      </c>
      <c r="S4" s="2">
        <v>10.125</v>
      </c>
      <c r="T4" s="2">
        <v>3</v>
      </c>
      <c r="U4" s="11">
        <v>30.375</v>
      </c>
    </row>
    <row r="5" spans="1:21" x14ac:dyDescent="0.25">
      <c r="A5" s="10">
        <v>46032</v>
      </c>
      <c r="B5" s="2">
        <v>24402</v>
      </c>
      <c r="C5" s="2" t="s">
        <v>65</v>
      </c>
      <c r="D5" s="2">
        <v>384</v>
      </c>
      <c r="E5" s="2">
        <v>12.201000000000001</v>
      </c>
      <c r="F5" s="2">
        <v>3</v>
      </c>
      <c r="G5" s="11">
        <v>36.603000000000002</v>
      </c>
      <c r="H5" s="10">
        <v>46065</v>
      </c>
      <c r="I5" s="2">
        <v>5650</v>
      </c>
      <c r="J5" s="2" t="s">
        <v>65</v>
      </c>
      <c r="K5" s="2">
        <v>384</v>
      </c>
      <c r="L5" s="2">
        <v>2.8250000000000002</v>
      </c>
      <c r="M5" s="2">
        <v>3</v>
      </c>
      <c r="N5" s="2">
        <v>8.4749999999999996</v>
      </c>
      <c r="O5" s="10">
        <v>46091</v>
      </c>
      <c r="P5" s="2">
        <v>6400</v>
      </c>
      <c r="Q5" s="2" t="s">
        <v>67</v>
      </c>
      <c r="R5" s="2">
        <v>519</v>
      </c>
      <c r="S5" s="2">
        <v>3.2</v>
      </c>
      <c r="T5" s="2">
        <v>2</v>
      </c>
      <c r="U5" s="11">
        <v>6.4</v>
      </c>
    </row>
    <row r="6" spans="1:21" x14ac:dyDescent="0.25">
      <c r="A6" s="10">
        <v>46032</v>
      </c>
      <c r="B6" s="2">
        <v>53900</v>
      </c>
      <c r="C6" s="2" t="s">
        <v>66</v>
      </c>
      <c r="D6" s="2">
        <v>321</v>
      </c>
      <c r="E6" s="2">
        <v>26.95</v>
      </c>
      <c r="F6" s="2">
        <v>4</v>
      </c>
      <c r="G6" s="11">
        <v>107.8</v>
      </c>
      <c r="H6" s="10">
        <v>46070</v>
      </c>
      <c r="I6" s="2">
        <v>37050</v>
      </c>
      <c r="J6" s="2" t="s">
        <v>69</v>
      </c>
      <c r="K6" s="2">
        <v>260</v>
      </c>
      <c r="L6" s="2">
        <v>18.524999999999899</v>
      </c>
      <c r="M6" s="2">
        <v>2</v>
      </c>
      <c r="N6" s="2">
        <v>37.049999999999898</v>
      </c>
      <c r="O6" s="10">
        <v>46092</v>
      </c>
      <c r="P6" s="2">
        <v>34950</v>
      </c>
      <c r="Q6" s="2" t="s">
        <v>106</v>
      </c>
      <c r="R6" s="2">
        <v>519</v>
      </c>
      <c r="S6" s="2">
        <v>17.475000000000001</v>
      </c>
      <c r="T6" s="2">
        <v>3</v>
      </c>
      <c r="U6" s="11">
        <v>52.424999999999997</v>
      </c>
    </row>
    <row r="7" spans="1:21" x14ac:dyDescent="0.25">
      <c r="A7" s="10">
        <v>46036</v>
      </c>
      <c r="B7" s="2">
        <v>40700</v>
      </c>
      <c r="C7" s="2" t="s">
        <v>66</v>
      </c>
      <c r="D7" s="2">
        <v>321</v>
      </c>
      <c r="E7" s="2">
        <v>20.350000000000001</v>
      </c>
      <c r="F7" s="2">
        <v>5</v>
      </c>
      <c r="G7" s="11">
        <v>101.75</v>
      </c>
      <c r="H7" s="10">
        <v>46071</v>
      </c>
      <c r="I7" s="2">
        <v>42700</v>
      </c>
      <c r="J7" s="2" t="s">
        <v>67</v>
      </c>
      <c r="K7" s="2">
        <v>519</v>
      </c>
      <c r="L7" s="2">
        <v>21.35</v>
      </c>
      <c r="M7" s="2">
        <v>4</v>
      </c>
      <c r="N7" s="2">
        <v>85.4</v>
      </c>
      <c r="O7" s="10">
        <v>46092</v>
      </c>
      <c r="P7" s="2">
        <v>19800</v>
      </c>
      <c r="Q7" s="2" t="s">
        <v>67</v>
      </c>
      <c r="R7" s="2">
        <v>519</v>
      </c>
      <c r="S7" s="2">
        <v>9.9</v>
      </c>
      <c r="T7" s="2">
        <v>3</v>
      </c>
      <c r="U7" s="11">
        <v>29.7</v>
      </c>
    </row>
    <row r="8" spans="1:21" x14ac:dyDescent="0.25">
      <c r="A8" s="10">
        <v>46038</v>
      </c>
      <c r="B8" s="2">
        <v>36250</v>
      </c>
      <c r="C8" s="2" t="s">
        <v>67</v>
      </c>
      <c r="D8" s="2">
        <v>504</v>
      </c>
      <c r="E8" s="2">
        <v>18.125</v>
      </c>
      <c r="F8" s="2">
        <v>3</v>
      </c>
      <c r="G8" s="11">
        <v>54.375</v>
      </c>
      <c r="H8" s="10">
        <v>46077</v>
      </c>
      <c r="I8" s="2">
        <v>48250</v>
      </c>
      <c r="J8" s="2" t="s">
        <v>67</v>
      </c>
      <c r="K8" s="2">
        <v>518</v>
      </c>
      <c r="L8" s="2">
        <v>24.125</v>
      </c>
      <c r="M8" s="2">
        <v>4</v>
      </c>
      <c r="N8" s="2">
        <v>96.5</v>
      </c>
      <c r="O8" s="10">
        <v>46092</v>
      </c>
      <c r="P8" s="2">
        <v>17300</v>
      </c>
      <c r="Q8" s="2" t="s">
        <v>103</v>
      </c>
      <c r="R8" s="2" t="s">
        <v>122</v>
      </c>
      <c r="S8" s="2">
        <v>8.65</v>
      </c>
      <c r="T8" s="2">
        <v>3</v>
      </c>
      <c r="U8" s="11">
        <v>25.95</v>
      </c>
    </row>
    <row r="9" spans="1:21" x14ac:dyDescent="0.25">
      <c r="A9" s="10">
        <v>46040</v>
      </c>
      <c r="B9" s="2">
        <v>36550</v>
      </c>
      <c r="C9" s="2" t="s">
        <v>67</v>
      </c>
      <c r="D9" s="2">
        <v>504</v>
      </c>
      <c r="E9" s="2">
        <v>18.274999999999899</v>
      </c>
      <c r="F9" s="2">
        <v>3</v>
      </c>
      <c r="G9" s="11">
        <v>54.824999999999903</v>
      </c>
      <c r="H9" s="10">
        <v>46077</v>
      </c>
      <c r="I9" s="2">
        <v>47450</v>
      </c>
      <c r="J9" s="2" t="s">
        <v>67</v>
      </c>
      <c r="K9" s="2">
        <v>518</v>
      </c>
      <c r="L9" s="2">
        <v>23.725000000000001</v>
      </c>
      <c r="M9" s="2">
        <v>4</v>
      </c>
      <c r="N9" s="2">
        <v>94.9</v>
      </c>
      <c r="O9" s="10">
        <v>46092</v>
      </c>
      <c r="P9" s="2">
        <v>20350</v>
      </c>
      <c r="Q9" s="2" t="s">
        <v>69</v>
      </c>
      <c r="R9" s="2">
        <v>261</v>
      </c>
      <c r="S9" s="2">
        <v>10.175000000000001</v>
      </c>
      <c r="T9" s="2">
        <v>3</v>
      </c>
      <c r="U9" s="11">
        <v>30.524999999999999</v>
      </c>
    </row>
    <row r="10" spans="1:21" x14ac:dyDescent="0.25">
      <c r="A10" s="10">
        <v>46044</v>
      </c>
      <c r="B10" s="2">
        <v>56200</v>
      </c>
      <c r="C10" s="2" t="s">
        <v>68</v>
      </c>
      <c r="D10" s="2">
        <v>356</v>
      </c>
      <c r="E10" s="2">
        <v>28.1</v>
      </c>
      <c r="F10" s="2">
        <v>1</v>
      </c>
      <c r="G10" s="11">
        <v>28.1</v>
      </c>
      <c r="H10" s="10">
        <v>46078</v>
      </c>
      <c r="I10" s="2">
        <v>42550</v>
      </c>
      <c r="J10" s="2" t="s">
        <v>101</v>
      </c>
      <c r="K10" s="2">
        <v>144</v>
      </c>
      <c r="L10" s="2">
        <v>21.274999999999899</v>
      </c>
      <c r="M10" s="2">
        <v>3</v>
      </c>
      <c r="N10" s="2">
        <v>63.824999999999903</v>
      </c>
      <c r="O10" s="10">
        <v>46092</v>
      </c>
      <c r="P10" s="2">
        <v>15000</v>
      </c>
      <c r="Q10" s="2" t="s">
        <v>126</v>
      </c>
      <c r="R10" s="2">
        <v>391</v>
      </c>
      <c r="S10" s="2">
        <v>7.5</v>
      </c>
      <c r="T10" s="2">
        <v>1</v>
      </c>
      <c r="U10" s="11">
        <v>7.5</v>
      </c>
    </row>
    <row r="11" spans="1:21" x14ac:dyDescent="0.25">
      <c r="A11" s="10">
        <v>46050</v>
      </c>
      <c r="B11" s="2">
        <v>11150</v>
      </c>
      <c r="C11" s="2" t="s">
        <v>74</v>
      </c>
      <c r="D11" s="2">
        <v>356</v>
      </c>
      <c r="E11" s="2">
        <v>5.5750000000000002</v>
      </c>
      <c r="F11" s="2">
        <v>2</v>
      </c>
      <c r="G11" s="11">
        <v>11.15</v>
      </c>
      <c r="H11" s="10">
        <v>46078</v>
      </c>
      <c r="I11" s="2">
        <v>34600</v>
      </c>
      <c r="J11" s="2" t="s">
        <v>101</v>
      </c>
      <c r="K11" s="2">
        <v>144</v>
      </c>
      <c r="L11" s="2">
        <v>17.3</v>
      </c>
      <c r="M11" s="2">
        <v>3</v>
      </c>
      <c r="N11" s="2">
        <v>51.9</v>
      </c>
      <c r="O11" s="10">
        <v>46092</v>
      </c>
      <c r="P11" s="2">
        <v>7650</v>
      </c>
      <c r="Q11" s="2" t="s">
        <v>70</v>
      </c>
      <c r="R11" s="2">
        <v>952</v>
      </c>
      <c r="S11" s="2">
        <v>3.8250000000000002</v>
      </c>
      <c r="T11" s="2">
        <v>1</v>
      </c>
      <c r="U11" s="11">
        <v>3.8250000000000002</v>
      </c>
    </row>
    <row r="12" spans="1:21" x14ac:dyDescent="0.25">
      <c r="A12" s="10">
        <v>46050</v>
      </c>
      <c r="B12" s="2">
        <v>15900</v>
      </c>
      <c r="C12" s="2" t="s">
        <v>75</v>
      </c>
      <c r="D12" s="2">
        <v>953</v>
      </c>
      <c r="E12" s="2">
        <v>7.95</v>
      </c>
      <c r="F12" s="2">
        <v>3</v>
      </c>
      <c r="G12" s="11">
        <v>23.85</v>
      </c>
      <c r="H12" s="10">
        <v>46078</v>
      </c>
      <c r="I12" s="2">
        <v>18500</v>
      </c>
      <c r="J12" s="2" t="s">
        <v>101</v>
      </c>
      <c r="K12" s="2">
        <v>144</v>
      </c>
      <c r="L12" s="2">
        <v>9.25</v>
      </c>
      <c r="M12" s="2">
        <v>3</v>
      </c>
      <c r="N12" s="2">
        <v>27.75</v>
      </c>
      <c r="O12" s="10">
        <v>46093</v>
      </c>
      <c r="P12" s="2">
        <v>10500</v>
      </c>
      <c r="Q12" s="2" t="s">
        <v>65</v>
      </c>
      <c r="R12" s="2">
        <v>384</v>
      </c>
      <c r="S12" s="2">
        <v>5.25</v>
      </c>
      <c r="T12" s="2">
        <v>3</v>
      </c>
      <c r="U12" s="11">
        <v>15.75</v>
      </c>
    </row>
    <row r="13" spans="1:21" x14ac:dyDescent="0.25">
      <c r="A13" s="10">
        <v>46050</v>
      </c>
      <c r="B13" s="2">
        <v>11750</v>
      </c>
      <c r="C13" s="2" t="s">
        <v>76</v>
      </c>
      <c r="D13" s="2">
        <v>247</v>
      </c>
      <c r="E13" s="2">
        <v>5.875</v>
      </c>
      <c r="F13" s="2">
        <v>1</v>
      </c>
      <c r="G13" s="11">
        <v>5.875</v>
      </c>
      <c r="H13" s="10">
        <v>46080</v>
      </c>
      <c r="I13" s="2">
        <v>19350</v>
      </c>
      <c r="J13" s="2" t="s">
        <v>103</v>
      </c>
      <c r="K13" s="2">
        <v>590</v>
      </c>
      <c r="L13" s="2">
        <v>9.6750000000000007</v>
      </c>
      <c r="M13" s="2">
        <v>3</v>
      </c>
      <c r="N13" s="2">
        <v>29.024999999999999</v>
      </c>
      <c r="O13" s="10">
        <v>46093</v>
      </c>
      <c r="P13" s="2">
        <v>8350</v>
      </c>
      <c r="Q13" s="2" t="s">
        <v>103</v>
      </c>
      <c r="R13" s="2" t="s">
        <v>122</v>
      </c>
      <c r="S13" s="2">
        <v>4.1749999999999901</v>
      </c>
      <c r="T13" s="2">
        <v>3</v>
      </c>
      <c r="U13" s="11">
        <v>12.524999999999901</v>
      </c>
    </row>
    <row r="14" spans="1:21" x14ac:dyDescent="0.25">
      <c r="A14" s="10">
        <v>46050</v>
      </c>
      <c r="B14" s="2">
        <v>19100</v>
      </c>
      <c r="C14" s="2" t="s">
        <v>77</v>
      </c>
      <c r="D14" s="2">
        <v>401</v>
      </c>
      <c r="E14" s="2">
        <v>9.5500000000000007</v>
      </c>
      <c r="F14" s="2">
        <v>2</v>
      </c>
      <c r="G14" s="11">
        <v>19.100000000000001</v>
      </c>
      <c r="H14" s="10">
        <v>46079</v>
      </c>
      <c r="I14" s="2">
        <v>44150</v>
      </c>
      <c r="J14" s="2" t="s">
        <v>70</v>
      </c>
      <c r="K14" s="2">
        <v>952</v>
      </c>
      <c r="L14" s="2">
        <v>22.0749999999999</v>
      </c>
      <c r="M14" s="2">
        <v>3</v>
      </c>
      <c r="N14" s="2">
        <v>66.224999999999895</v>
      </c>
      <c r="O14" s="10">
        <v>46093</v>
      </c>
      <c r="P14" s="2">
        <v>17500</v>
      </c>
      <c r="Q14" s="2" t="s">
        <v>69</v>
      </c>
      <c r="R14" s="2">
        <v>261</v>
      </c>
      <c r="S14" s="2">
        <v>8.75</v>
      </c>
      <c r="T14" s="2">
        <v>3</v>
      </c>
      <c r="U14" s="11">
        <v>26.25</v>
      </c>
    </row>
    <row r="15" spans="1:21" x14ac:dyDescent="0.25">
      <c r="A15" s="10">
        <v>46050</v>
      </c>
      <c r="B15" s="2">
        <v>31800</v>
      </c>
      <c r="C15" s="2" t="s">
        <v>74</v>
      </c>
      <c r="D15" s="2">
        <v>356</v>
      </c>
      <c r="E15" s="2">
        <v>15.9</v>
      </c>
      <c r="F15" s="2">
        <v>1</v>
      </c>
      <c r="G15" s="11">
        <v>15.9</v>
      </c>
      <c r="H15" s="10">
        <v>46079</v>
      </c>
      <c r="I15" s="2">
        <v>16600</v>
      </c>
      <c r="J15" s="2" t="s">
        <v>102</v>
      </c>
      <c r="K15" s="2">
        <v>321</v>
      </c>
      <c r="L15" s="2">
        <v>8.3000000000000007</v>
      </c>
      <c r="M15" s="2">
        <v>1</v>
      </c>
      <c r="N15" s="2">
        <v>8.3000000000000007</v>
      </c>
      <c r="O15" s="10">
        <v>46093</v>
      </c>
      <c r="P15" s="2">
        <v>25500</v>
      </c>
      <c r="Q15" s="2" t="s">
        <v>67</v>
      </c>
      <c r="R15" s="2">
        <v>519</v>
      </c>
      <c r="S15" s="2">
        <v>12.75</v>
      </c>
      <c r="T15" s="2">
        <v>3</v>
      </c>
      <c r="U15" s="11">
        <v>38.25</v>
      </c>
    </row>
    <row r="16" spans="1:21" x14ac:dyDescent="0.25">
      <c r="A16" s="10">
        <v>46052</v>
      </c>
      <c r="B16" s="2">
        <v>39250</v>
      </c>
      <c r="C16" s="2" t="s">
        <v>69</v>
      </c>
      <c r="D16" s="2">
        <v>247</v>
      </c>
      <c r="E16" s="2">
        <v>19.625</v>
      </c>
      <c r="F16" s="2">
        <v>3</v>
      </c>
      <c r="G16" s="11">
        <v>58.875</v>
      </c>
      <c r="H16" s="10">
        <v>46079</v>
      </c>
      <c r="I16" s="2">
        <v>10250</v>
      </c>
      <c r="J16" s="2" t="s">
        <v>66</v>
      </c>
      <c r="K16" s="2">
        <v>321</v>
      </c>
      <c r="L16" s="2">
        <v>5.125</v>
      </c>
      <c r="M16" s="2">
        <v>2</v>
      </c>
      <c r="N16" s="2">
        <v>10.25</v>
      </c>
      <c r="O16" s="10">
        <v>46093</v>
      </c>
      <c r="P16" s="2">
        <v>26400</v>
      </c>
      <c r="Q16" s="2" t="s">
        <v>128</v>
      </c>
      <c r="R16" s="2">
        <v>817</v>
      </c>
      <c r="S16" s="2">
        <v>13.2</v>
      </c>
      <c r="T16" s="2">
        <v>3</v>
      </c>
      <c r="U16" s="11">
        <v>39.599999999999902</v>
      </c>
    </row>
    <row r="17" spans="1:21" x14ac:dyDescent="0.25">
      <c r="A17" s="10">
        <v>46027</v>
      </c>
      <c r="B17" s="2">
        <v>19150</v>
      </c>
      <c r="C17" s="2" t="s">
        <v>70</v>
      </c>
      <c r="D17" s="2">
        <v>944</v>
      </c>
      <c r="E17" s="2">
        <v>9.5749999999999904</v>
      </c>
      <c r="F17" s="2">
        <v>2</v>
      </c>
      <c r="G17" s="11">
        <v>19.149999999999899</v>
      </c>
      <c r="H17" s="10">
        <v>46079</v>
      </c>
      <c r="I17" s="2">
        <v>27100</v>
      </c>
      <c r="J17" s="2" t="s">
        <v>70</v>
      </c>
      <c r="K17" s="2">
        <v>952</v>
      </c>
      <c r="L17" s="2">
        <v>13.55</v>
      </c>
      <c r="M17" s="2">
        <v>2</v>
      </c>
      <c r="N17" s="2">
        <v>27.1</v>
      </c>
      <c r="O17" s="10">
        <v>46093</v>
      </c>
      <c r="P17" s="2">
        <v>19400</v>
      </c>
      <c r="Q17" s="2" t="s">
        <v>65</v>
      </c>
      <c r="R17" s="2">
        <v>384</v>
      </c>
      <c r="S17" s="2">
        <v>9.6999999999999904</v>
      </c>
      <c r="T17" s="2">
        <v>3</v>
      </c>
      <c r="U17" s="11">
        <v>29.099999999999898</v>
      </c>
    </row>
    <row r="18" spans="1:21" x14ac:dyDescent="0.25">
      <c r="A18" s="10">
        <v>46027</v>
      </c>
      <c r="B18" s="2">
        <v>12300</v>
      </c>
      <c r="C18" s="2" t="s">
        <v>63</v>
      </c>
      <c r="D18" s="2">
        <v>401</v>
      </c>
      <c r="E18" s="2">
        <v>6.15</v>
      </c>
      <c r="F18" s="2">
        <v>2</v>
      </c>
      <c r="G18" s="11">
        <v>12.3</v>
      </c>
      <c r="H18" s="10">
        <v>46079</v>
      </c>
      <c r="I18" s="2">
        <v>29150</v>
      </c>
      <c r="J18" s="2" t="s">
        <v>69</v>
      </c>
      <c r="K18" s="2">
        <v>260</v>
      </c>
      <c r="L18" s="2">
        <v>14.5749999999999</v>
      </c>
      <c r="M18" s="2">
        <v>3</v>
      </c>
      <c r="N18" s="2">
        <v>43.724999999999902</v>
      </c>
      <c r="O18" s="10">
        <v>46093</v>
      </c>
      <c r="P18" s="2">
        <v>45350</v>
      </c>
      <c r="Q18" s="2" t="s">
        <v>66</v>
      </c>
      <c r="R18" s="2">
        <v>321</v>
      </c>
      <c r="S18" s="2">
        <v>22.675000000000001</v>
      </c>
      <c r="T18" s="2">
        <v>3</v>
      </c>
      <c r="U18" s="11">
        <v>68.025000000000006</v>
      </c>
    </row>
    <row r="19" spans="1:21" x14ac:dyDescent="0.25">
      <c r="A19" s="12"/>
      <c r="G19" s="11"/>
      <c r="H19" s="10">
        <v>46080</v>
      </c>
      <c r="I19" s="2">
        <v>27550</v>
      </c>
      <c r="J19" s="2" t="s">
        <v>66</v>
      </c>
      <c r="K19" s="2">
        <v>321</v>
      </c>
      <c r="L19" s="2">
        <v>13.775</v>
      </c>
      <c r="M19" s="2">
        <v>3</v>
      </c>
      <c r="N19" s="2">
        <v>41.325000000000003</v>
      </c>
      <c r="O19" s="10">
        <v>46094</v>
      </c>
      <c r="P19" s="2">
        <v>25450</v>
      </c>
      <c r="Q19" s="2" t="s">
        <v>110</v>
      </c>
      <c r="R19" s="2">
        <v>147</v>
      </c>
      <c r="S19" s="2">
        <v>12.725</v>
      </c>
      <c r="T19" s="2">
        <v>3</v>
      </c>
      <c r="U19" s="11">
        <v>38.174999999999898</v>
      </c>
    </row>
    <row r="20" spans="1:21" ht="15.75" thickBot="1" x14ac:dyDescent="0.3">
      <c r="A20" s="17" t="s">
        <v>79</v>
      </c>
      <c r="B20" s="13"/>
      <c r="C20" s="13"/>
      <c r="D20" s="13"/>
      <c r="E20" s="15">
        <f>SUM(E2:E18)</f>
        <v>223.10099999999986</v>
      </c>
      <c r="F20" s="13"/>
      <c r="G20" s="14">
        <f>SUM(G2:G18)</f>
        <v>593.87799999999959</v>
      </c>
      <c r="H20" s="10">
        <v>46080</v>
      </c>
      <c r="I20" s="2">
        <v>32800</v>
      </c>
      <c r="J20" s="2" t="s">
        <v>66</v>
      </c>
      <c r="K20" s="2">
        <v>321</v>
      </c>
      <c r="L20" s="2">
        <v>16.399999999999899</v>
      </c>
      <c r="M20" s="2">
        <v>3</v>
      </c>
      <c r="N20" s="2">
        <v>49.199999999999903</v>
      </c>
      <c r="O20" s="10">
        <v>46094</v>
      </c>
      <c r="P20" s="2">
        <v>33500</v>
      </c>
      <c r="Q20" s="2" t="s">
        <v>103</v>
      </c>
      <c r="R20" s="2">
        <v>590</v>
      </c>
      <c r="S20" s="2">
        <v>16.75</v>
      </c>
      <c r="T20" s="2">
        <v>3</v>
      </c>
      <c r="U20" s="11">
        <v>50.25</v>
      </c>
    </row>
    <row r="21" spans="1:21" x14ac:dyDescent="0.25">
      <c r="H21" s="10">
        <v>46080</v>
      </c>
      <c r="I21" s="2">
        <v>24850</v>
      </c>
      <c r="J21" s="2" t="s">
        <v>66</v>
      </c>
      <c r="K21" s="2">
        <v>321</v>
      </c>
      <c r="L21" s="2">
        <v>12.425000000000001</v>
      </c>
      <c r="M21" s="2">
        <v>3</v>
      </c>
      <c r="N21" s="2">
        <v>37.274999999999999</v>
      </c>
      <c r="O21" s="10">
        <v>46094</v>
      </c>
      <c r="P21" s="2">
        <v>22600</v>
      </c>
      <c r="Q21" s="2" t="s">
        <v>106</v>
      </c>
      <c r="R21" s="2">
        <v>519</v>
      </c>
      <c r="S21" s="2">
        <v>11.3</v>
      </c>
      <c r="T21" s="2">
        <v>3</v>
      </c>
      <c r="U21" s="11">
        <v>33.9</v>
      </c>
    </row>
    <row r="22" spans="1:21" x14ac:dyDescent="0.25">
      <c r="H22" s="10">
        <v>46080</v>
      </c>
      <c r="I22" s="2">
        <v>13050</v>
      </c>
      <c r="J22" s="2" t="s">
        <v>66</v>
      </c>
      <c r="K22" s="2">
        <v>321</v>
      </c>
      <c r="L22" s="2">
        <v>6.5250000000000004</v>
      </c>
      <c r="M22" s="2">
        <v>3</v>
      </c>
      <c r="N22" s="2">
        <v>19.574999999999999</v>
      </c>
      <c r="O22" s="10">
        <v>46094</v>
      </c>
      <c r="P22" s="2">
        <v>19800</v>
      </c>
      <c r="Q22" s="2" t="s">
        <v>106</v>
      </c>
      <c r="R22" s="2">
        <v>519</v>
      </c>
      <c r="S22" s="2">
        <v>9.9</v>
      </c>
      <c r="T22" s="2">
        <v>3</v>
      </c>
      <c r="U22" s="11">
        <v>29.7</v>
      </c>
    </row>
    <row r="23" spans="1:21" x14ac:dyDescent="0.25">
      <c r="H23" s="10">
        <v>46080</v>
      </c>
      <c r="I23" s="2">
        <v>66950</v>
      </c>
      <c r="J23" s="2" t="s">
        <v>69</v>
      </c>
      <c r="K23" s="2">
        <v>260</v>
      </c>
      <c r="L23" s="2">
        <v>33.475000000000001</v>
      </c>
      <c r="M23" s="2">
        <v>3</v>
      </c>
      <c r="N23" s="2">
        <v>100.425</v>
      </c>
      <c r="O23" s="10">
        <v>46098</v>
      </c>
      <c r="P23" s="2">
        <v>15450</v>
      </c>
      <c r="Q23" s="2" t="s">
        <v>103</v>
      </c>
      <c r="R23" s="2">
        <v>590</v>
      </c>
      <c r="S23" s="2">
        <v>7.7249999999999899</v>
      </c>
      <c r="T23" s="2">
        <v>3</v>
      </c>
      <c r="U23" s="11">
        <v>23.174999999999901</v>
      </c>
    </row>
    <row r="24" spans="1:21" x14ac:dyDescent="0.25">
      <c r="H24" s="10">
        <v>46080</v>
      </c>
      <c r="I24" s="2">
        <v>26100</v>
      </c>
      <c r="J24" s="2" t="s">
        <v>69</v>
      </c>
      <c r="K24" s="2">
        <v>260</v>
      </c>
      <c r="L24" s="2">
        <v>13.05</v>
      </c>
      <c r="M24" s="2">
        <v>3</v>
      </c>
      <c r="N24" s="2">
        <v>39.15</v>
      </c>
      <c r="O24" s="10">
        <v>46098</v>
      </c>
      <c r="P24" s="2">
        <v>18750</v>
      </c>
      <c r="Q24" s="2" t="s">
        <v>120</v>
      </c>
      <c r="R24" s="2">
        <v>736</v>
      </c>
      <c r="S24" s="2">
        <v>9.375</v>
      </c>
      <c r="T24" s="2">
        <v>3</v>
      </c>
      <c r="U24" s="11">
        <v>28.125</v>
      </c>
    </row>
    <row r="25" spans="1:21" x14ac:dyDescent="0.25">
      <c r="H25" s="10">
        <v>46080</v>
      </c>
      <c r="I25" s="2">
        <v>37350</v>
      </c>
      <c r="J25" s="2" t="s">
        <v>67</v>
      </c>
      <c r="K25" s="2">
        <v>518</v>
      </c>
      <c r="L25" s="2">
        <v>18.675000000000001</v>
      </c>
      <c r="M25" s="2">
        <v>3</v>
      </c>
      <c r="N25" s="2">
        <v>56.024999999999999</v>
      </c>
      <c r="O25" s="10">
        <v>46098</v>
      </c>
      <c r="P25" s="2">
        <v>20100</v>
      </c>
      <c r="Q25" s="2" t="s">
        <v>65</v>
      </c>
      <c r="R25" s="2">
        <v>384</v>
      </c>
      <c r="S25" s="2">
        <v>10.050000000000001</v>
      </c>
      <c r="T25" s="2">
        <v>3</v>
      </c>
      <c r="U25" s="11">
        <v>30.15</v>
      </c>
    </row>
    <row r="26" spans="1:21" x14ac:dyDescent="0.25">
      <c r="H26" s="10">
        <v>46080</v>
      </c>
      <c r="I26" s="2">
        <v>21950</v>
      </c>
      <c r="J26" s="2" t="s">
        <v>106</v>
      </c>
      <c r="K26" s="2">
        <v>518</v>
      </c>
      <c r="L26" s="2">
        <v>10.975</v>
      </c>
      <c r="M26" s="2">
        <v>3</v>
      </c>
      <c r="N26" s="2">
        <v>32.924999999999898</v>
      </c>
      <c r="O26" s="10">
        <v>46098</v>
      </c>
      <c r="P26" s="2">
        <v>17800</v>
      </c>
      <c r="Q26" s="2" t="s">
        <v>66</v>
      </c>
      <c r="R26" s="2">
        <v>321</v>
      </c>
      <c r="S26" s="2">
        <v>8.9</v>
      </c>
      <c r="T26" s="2">
        <v>3</v>
      </c>
      <c r="U26" s="11">
        <v>26.7</v>
      </c>
    </row>
    <row r="27" spans="1:21" x14ac:dyDescent="0.25">
      <c r="H27" s="10">
        <v>46080</v>
      </c>
      <c r="I27" s="2">
        <v>8950</v>
      </c>
      <c r="J27" s="2" t="s">
        <v>106</v>
      </c>
      <c r="K27" s="2">
        <v>518</v>
      </c>
      <c r="L27" s="2">
        <v>4.4749999999999899</v>
      </c>
      <c r="M27" s="2">
        <v>3</v>
      </c>
      <c r="N27" s="2">
        <v>13.424999999999899</v>
      </c>
      <c r="O27" s="10">
        <v>46098</v>
      </c>
      <c r="P27" s="2">
        <v>27600</v>
      </c>
      <c r="Q27" s="2" t="s">
        <v>66</v>
      </c>
      <c r="R27" s="2">
        <v>321</v>
      </c>
      <c r="S27" s="2">
        <v>13.8</v>
      </c>
      <c r="T27" s="2">
        <v>3</v>
      </c>
      <c r="U27" s="11">
        <v>41.4</v>
      </c>
    </row>
    <row r="28" spans="1:21" x14ac:dyDescent="0.25">
      <c r="H28" s="10">
        <v>46057</v>
      </c>
      <c r="I28" s="2">
        <v>4500</v>
      </c>
      <c r="J28" s="2" t="s">
        <v>63</v>
      </c>
      <c r="K28" s="2">
        <v>401</v>
      </c>
      <c r="L28" s="2">
        <v>2.25</v>
      </c>
      <c r="M28" s="2">
        <v>2</v>
      </c>
      <c r="N28" s="2">
        <v>4.5</v>
      </c>
      <c r="O28" s="10">
        <v>46098</v>
      </c>
      <c r="P28" s="2">
        <v>19600</v>
      </c>
      <c r="Q28" s="2" t="s">
        <v>128</v>
      </c>
      <c r="R28" s="2">
        <v>817</v>
      </c>
      <c r="S28" s="2">
        <v>9.8000000000000007</v>
      </c>
      <c r="T28" s="2">
        <v>3</v>
      </c>
      <c r="U28" s="11">
        <v>29.4</v>
      </c>
    </row>
    <row r="29" spans="1:21" x14ac:dyDescent="0.25">
      <c r="H29" s="10">
        <v>46057</v>
      </c>
      <c r="I29" s="2">
        <v>27550</v>
      </c>
      <c r="J29" s="2" t="s">
        <v>67</v>
      </c>
      <c r="K29" s="2">
        <v>505</v>
      </c>
      <c r="L29" s="2">
        <v>13.775</v>
      </c>
      <c r="M29" s="2">
        <v>2</v>
      </c>
      <c r="N29" s="2">
        <v>27.55</v>
      </c>
      <c r="O29" s="10">
        <v>46098</v>
      </c>
      <c r="P29" s="2">
        <v>16400</v>
      </c>
      <c r="Q29" s="2" t="s">
        <v>67</v>
      </c>
      <c r="R29" s="2">
        <v>519</v>
      </c>
      <c r="S29" s="2">
        <v>8.1999999999999904</v>
      </c>
      <c r="T29" s="2">
        <v>2</v>
      </c>
      <c r="U29" s="11">
        <v>16.399999999999899</v>
      </c>
    </row>
    <row r="30" spans="1:21" x14ac:dyDescent="0.25">
      <c r="H30" s="10">
        <v>46058</v>
      </c>
      <c r="I30" s="2">
        <v>9350</v>
      </c>
      <c r="J30" s="2" t="s">
        <v>71</v>
      </c>
      <c r="K30" s="2">
        <v>606</v>
      </c>
      <c r="L30" s="2">
        <v>4.6749999999999901</v>
      </c>
      <c r="M30" s="2">
        <v>3</v>
      </c>
      <c r="N30" s="2">
        <v>14.024999999999901</v>
      </c>
      <c r="O30" s="10">
        <v>46098</v>
      </c>
      <c r="P30" s="2">
        <v>17600</v>
      </c>
      <c r="Q30" s="2" t="s">
        <v>102</v>
      </c>
      <c r="R30" s="2">
        <v>321</v>
      </c>
      <c r="S30" s="2">
        <v>8.8000000000000007</v>
      </c>
      <c r="T30" s="2">
        <v>2</v>
      </c>
      <c r="U30" s="11">
        <v>17.600000000000001</v>
      </c>
    </row>
    <row r="31" spans="1:21" x14ac:dyDescent="0.25">
      <c r="H31" s="10">
        <v>46058</v>
      </c>
      <c r="I31" s="2">
        <v>19100</v>
      </c>
      <c r="J31" s="2" t="s">
        <v>69</v>
      </c>
      <c r="K31" s="2">
        <v>247</v>
      </c>
      <c r="L31" s="2">
        <v>9.5500000000000007</v>
      </c>
      <c r="M31" s="2">
        <v>4</v>
      </c>
      <c r="N31" s="2">
        <v>38.200000000000003</v>
      </c>
      <c r="O31" s="10">
        <v>46098</v>
      </c>
      <c r="P31" s="2">
        <v>32700</v>
      </c>
      <c r="Q31" s="2" t="s">
        <v>65</v>
      </c>
      <c r="R31" s="2">
        <v>384</v>
      </c>
      <c r="S31" s="2">
        <v>16.350000000000001</v>
      </c>
      <c r="T31" s="2">
        <v>3</v>
      </c>
      <c r="U31" s="11">
        <v>49.05</v>
      </c>
    </row>
    <row r="32" spans="1:21" x14ac:dyDescent="0.25">
      <c r="H32" s="10">
        <v>46060</v>
      </c>
      <c r="I32" s="2">
        <v>31500</v>
      </c>
      <c r="J32" s="2" t="s">
        <v>63</v>
      </c>
      <c r="K32" s="2">
        <v>401</v>
      </c>
      <c r="L32" s="2">
        <v>15.75</v>
      </c>
      <c r="M32" s="2">
        <v>5</v>
      </c>
      <c r="N32" s="2">
        <v>78.75</v>
      </c>
      <c r="O32" s="10">
        <v>46098</v>
      </c>
      <c r="P32" s="2">
        <v>42550</v>
      </c>
      <c r="Q32" s="2" t="s">
        <v>71</v>
      </c>
      <c r="R32" s="2">
        <v>590</v>
      </c>
      <c r="S32" s="2">
        <v>21.274999999999899</v>
      </c>
      <c r="T32" s="2">
        <v>4</v>
      </c>
      <c r="U32" s="11">
        <v>85.1</v>
      </c>
    </row>
    <row r="33" spans="8:21" x14ac:dyDescent="0.25">
      <c r="H33" s="10">
        <v>46062</v>
      </c>
      <c r="I33" s="2">
        <v>28800</v>
      </c>
      <c r="J33" s="2" t="s">
        <v>67</v>
      </c>
      <c r="K33" s="2">
        <v>505</v>
      </c>
      <c r="L33" s="2">
        <v>14.4</v>
      </c>
      <c r="M33" s="2">
        <v>3</v>
      </c>
      <c r="N33" s="2">
        <v>43.2</v>
      </c>
      <c r="O33" s="10">
        <v>46099</v>
      </c>
      <c r="P33" s="2">
        <v>43350</v>
      </c>
      <c r="Q33" s="2" t="s">
        <v>103</v>
      </c>
      <c r="R33" s="2">
        <v>590</v>
      </c>
      <c r="S33" s="2">
        <v>21.675000000000001</v>
      </c>
      <c r="T33" s="2">
        <v>3</v>
      </c>
      <c r="U33" s="11">
        <v>65.025000000000006</v>
      </c>
    </row>
    <row r="34" spans="8:21" x14ac:dyDescent="0.25">
      <c r="H34" s="12"/>
      <c r="O34" s="10">
        <v>46099</v>
      </c>
      <c r="P34" s="2">
        <v>5750</v>
      </c>
      <c r="Q34" s="2" t="s">
        <v>130</v>
      </c>
      <c r="R34" s="2">
        <v>134</v>
      </c>
      <c r="S34" s="2">
        <v>2.875</v>
      </c>
      <c r="T34" s="2">
        <v>2</v>
      </c>
      <c r="U34" s="11">
        <v>5.75</v>
      </c>
    </row>
    <row r="35" spans="8:21" ht="15.75" thickBot="1" x14ac:dyDescent="0.3">
      <c r="H35" s="17" t="s">
        <v>78</v>
      </c>
      <c r="I35" s="13"/>
      <c r="J35" s="13"/>
      <c r="K35" s="13"/>
      <c r="L35" s="15">
        <f>SUM(L2:L33)</f>
        <v>425.67499999999944</v>
      </c>
      <c r="M35" s="15"/>
      <c r="N35" s="15">
        <f>SUM(N2:N33)</f>
        <v>1347.4499999999994</v>
      </c>
      <c r="O35" s="10">
        <v>46099</v>
      </c>
      <c r="P35" s="2">
        <v>28750</v>
      </c>
      <c r="Q35" s="2" t="s">
        <v>67</v>
      </c>
      <c r="R35" s="2">
        <v>519</v>
      </c>
      <c r="S35" s="2">
        <v>14.375</v>
      </c>
      <c r="T35" s="2">
        <v>3</v>
      </c>
      <c r="U35" s="11">
        <v>43.125</v>
      </c>
    </row>
    <row r="36" spans="8:21" x14ac:dyDescent="0.25">
      <c r="O36" s="10">
        <v>46099</v>
      </c>
      <c r="P36" s="2">
        <v>11650</v>
      </c>
      <c r="Q36" s="2" t="s">
        <v>66</v>
      </c>
      <c r="R36" s="2">
        <v>321</v>
      </c>
      <c r="S36" s="2">
        <v>5.8250000000000002</v>
      </c>
      <c r="T36" s="2">
        <v>3</v>
      </c>
      <c r="U36" s="11">
        <v>17.475000000000001</v>
      </c>
    </row>
    <row r="37" spans="8:21" x14ac:dyDescent="0.25">
      <c r="O37" s="10">
        <v>46099</v>
      </c>
      <c r="P37" s="2">
        <v>13050</v>
      </c>
      <c r="Q37" s="2" t="s">
        <v>110</v>
      </c>
      <c r="R37" s="2">
        <v>147</v>
      </c>
      <c r="S37" s="2">
        <v>6.5250000000000004</v>
      </c>
      <c r="T37" s="2">
        <v>3</v>
      </c>
      <c r="U37" s="11">
        <v>19.574999999999999</v>
      </c>
    </row>
    <row r="38" spans="8:21" x14ac:dyDescent="0.25">
      <c r="O38" s="10">
        <v>46099</v>
      </c>
      <c r="P38" s="2">
        <v>8450</v>
      </c>
      <c r="Q38" s="2" t="s">
        <v>119</v>
      </c>
      <c r="R38" s="2">
        <v>951</v>
      </c>
      <c r="S38" s="2">
        <v>4.2249999999999899</v>
      </c>
      <c r="T38" s="2">
        <v>2</v>
      </c>
      <c r="U38" s="11">
        <v>8.4499999999999904</v>
      </c>
    </row>
    <row r="39" spans="8:21" x14ac:dyDescent="0.25">
      <c r="O39" s="10">
        <v>46099</v>
      </c>
      <c r="P39" s="2">
        <v>13200</v>
      </c>
      <c r="Q39" s="2" t="s">
        <v>120</v>
      </c>
      <c r="R39" s="2">
        <v>736</v>
      </c>
      <c r="S39" s="2">
        <v>6.6</v>
      </c>
      <c r="T39" s="2">
        <v>2</v>
      </c>
      <c r="U39" s="11">
        <v>13.2</v>
      </c>
    </row>
    <row r="40" spans="8:21" x14ac:dyDescent="0.25">
      <c r="O40" s="10">
        <v>46100</v>
      </c>
      <c r="P40" s="2">
        <v>19350</v>
      </c>
      <c r="Q40" s="2" t="s">
        <v>64</v>
      </c>
      <c r="R40" s="2">
        <v>260</v>
      </c>
      <c r="S40" s="2">
        <v>9.6750000000000007</v>
      </c>
      <c r="T40" s="2">
        <v>4</v>
      </c>
      <c r="U40" s="11">
        <v>38.700000000000003</v>
      </c>
    </row>
    <row r="41" spans="8:21" x14ac:dyDescent="0.25">
      <c r="O41" s="10">
        <v>46100</v>
      </c>
      <c r="P41" s="2">
        <v>31000</v>
      </c>
      <c r="Q41" s="2" t="s">
        <v>67</v>
      </c>
      <c r="R41" s="2">
        <v>519</v>
      </c>
      <c r="S41" s="2">
        <v>15.5</v>
      </c>
      <c r="T41" s="2">
        <v>3</v>
      </c>
      <c r="U41" s="11">
        <v>46.5</v>
      </c>
    </row>
    <row r="42" spans="8:21" x14ac:dyDescent="0.25">
      <c r="O42" s="10">
        <v>46100</v>
      </c>
      <c r="P42" s="2">
        <v>33800</v>
      </c>
      <c r="Q42" s="2" t="s">
        <v>66</v>
      </c>
      <c r="R42" s="2">
        <v>321</v>
      </c>
      <c r="S42" s="2">
        <v>16.899999999999899</v>
      </c>
      <c r="T42" s="2">
        <v>3</v>
      </c>
      <c r="U42" s="11">
        <v>50.699999999999903</v>
      </c>
    </row>
    <row r="43" spans="8:21" x14ac:dyDescent="0.25">
      <c r="O43" s="10">
        <v>46100</v>
      </c>
      <c r="P43" s="2">
        <v>15850</v>
      </c>
      <c r="Q43" s="2" t="s">
        <v>106</v>
      </c>
      <c r="R43" s="2">
        <v>519</v>
      </c>
      <c r="S43" s="2">
        <v>7.9249999999999901</v>
      </c>
      <c r="T43" s="2">
        <v>3</v>
      </c>
      <c r="U43" s="11">
        <v>23.774999999999899</v>
      </c>
    </row>
    <row r="44" spans="8:21" x14ac:dyDescent="0.25">
      <c r="O44" s="10">
        <v>46100</v>
      </c>
      <c r="P44" s="2">
        <v>16600</v>
      </c>
      <c r="Q44" s="2" t="s">
        <v>65</v>
      </c>
      <c r="R44" s="2">
        <v>384</v>
      </c>
      <c r="S44" s="2">
        <v>8.3000000000000007</v>
      </c>
      <c r="T44" s="2">
        <v>3</v>
      </c>
      <c r="U44" s="11">
        <v>24.9</v>
      </c>
    </row>
    <row r="45" spans="8:21" x14ac:dyDescent="0.25">
      <c r="O45" s="10">
        <v>46100</v>
      </c>
      <c r="P45" s="2">
        <v>5100</v>
      </c>
      <c r="Q45" s="2" t="s">
        <v>119</v>
      </c>
      <c r="R45" s="2">
        <v>951</v>
      </c>
      <c r="S45" s="2">
        <v>2.5499999999999901</v>
      </c>
      <c r="T45" s="2">
        <v>1</v>
      </c>
      <c r="U45" s="11">
        <v>2.5499999999999901</v>
      </c>
    </row>
    <row r="46" spans="8:21" x14ac:dyDescent="0.25">
      <c r="O46" s="10">
        <v>46100</v>
      </c>
      <c r="P46" s="2">
        <v>16750</v>
      </c>
      <c r="Q46" s="2" t="s">
        <v>110</v>
      </c>
      <c r="R46" s="2">
        <v>144</v>
      </c>
      <c r="S46" s="2">
        <v>8.375</v>
      </c>
      <c r="T46" s="2">
        <v>3</v>
      </c>
      <c r="U46" s="11">
        <v>25.125</v>
      </c>
    </row>
    <row r="47" spans="8:21" x14ac:dyDescent="0.25">
      <c r="O47" s="10">
        <v>46101</v>
      </c>
      <c r="P47" s="2">
        <v>36000</v>
      </c>
      <c r="Q47" s="2" t="s">
        <v>65</v>
      </c>
      <c r="R47" s="2">
        <v>384</v>
      </c>
      <c r="S47" s="2">
        <v>18</v>
      </c>
      <c r="T47" s="2">
        <v>3</v>
      </c>
      <c r="U47" s="11">
        <v>54</v>
      </c>
    </row>
    <row r="48" spans="8:21" x14ac:dyDescent="0.25">
      <c r="O48" s="10">
        <v>46101</v>
      </c>
      <c r="P48" s="2">
        <v>23750</v>
      </c>
      <c r="Q48" s="2" t="s">
        <v>65</v>
      </c>
      <c r="R48" s="2">
        <v>384</v>
      </c>
      <c r="S48" s="2">
        <v>11.875</v>
      </c>
      <c r="T48" s="2">
        <v>3</v>
      </c>
      <c r="U48" s="11">
        <v>35.625</v>
      </c>
    </row>
    <row r="49" spans="15:21" x14ac:dyDescent="0.25">
      <c r="O49" s="10">
        <v>46101</v>
      </c>
      <c r="P49" s="2">
        <v>41300</v>
      </c>
      <c r="Q49" s="2" t="s">
        <v>71</v>
      </c>
      <c r="R49" s="2">
        <v>590</v>
      </c>
      <c r="S49" s="2">
        <v>20.65</v>
      </c>
      <c r="T49" s="2">
        <v>2</v>
      </c>
      <c r="U49" s="11">
        <v>41.3</v>
      </c>
    </row>
    <row r="50" spans="15:21" x14ac:dyDescent="0.25">
      <c r="O50" s="10">
        <v>46101</v>
      </c>
      <c r="P50" s="2">
        <v>17050</v>
      </c>
      <c r="Q50" s="2" t="s">
        <v>102</v>
      </c>
      <c r="R50" s="2">
        <v>408</v>
      </c>
      <c r="S50" s="2">
        <v>8.5250000000000004</v>
      </c>
      <c r="T50" s="2">
        <v>2</v>
      </c>
      <c r="U50" s="11">
        <v>17.05</v>
      </c>
    </row>
    <row r="51" spans="15:21" x14ac:dyDescent="0.25">
      <c r="O51" s="10">
        <v>46101</v>
      </c>
      <c r="P51" s="2">
        <v>11350</v>
      </c>
      <c r="Q51" s="2" t="s">
        <v>103</v>
      </c>
      <c r="R51" s="2">
        <v>590</v>
      </c>
      <c r="S51" s="2">
        <v>5.6749999999999901</v>
      </c>
      <c r="T51" s="2">
        <v>3</v>
      </c>
      <c r="U51" s="11">
        <v>17.024999999999899</v>
      </c>
    </row>
    <row r="52" spans="15:21" x14ac:dyDescent="0.25">
      <c r="O52" s="10">
        <v>46101</v>
      </c>
      <c r="P52" s="2">
        <v>38700</v>
      </c>
      <c r="Q52" s="2" t="s">
        <v>64</v>
      </c>
      <c r="R52" s="2">
        <v>952</v>
      </c>
      <c r="S52" s="2">
        <v>19.350000000000001</v>
      </c>
      <c r="T52" s="2">
        <v>3</v>
      </c>
      <c r="U52" s="11">
        <v>58.05</v>
      </c>
    </row>
    <row r="53" spans="15:21" x14ac:dyDescent="0.25">
      <c r="O53" s="10">
        <v>46104</v>
      </c>
      <c r="P53" s="2">
        <v>9900</v>
      </c>
      <c r="Q53" s="2" t="s">
        <v>119</v>
      </c>
      <c r="R53" s="2">
        <v>952</v>
      </c>
      <c r="S53" s="2">
        <v>4.95</v>
      </c>
      <c r="T53" s="2">
        <v>3</v>
      </c>
      <c r="U53" s="11">
        <v>14.85</v>
      </c>
    </row>
    <row r="54" spans="15:21" x14ac:dyDescent="0.25">
      <c r="O54" s="10">
        <v>46104</v>
      </c>
      <c r="P54" s="2">
        <v>46450</v>
      </c>
      <c r="Q54" s="2" t="s">
        <v>66</v>
      </c>
      <c r="R54" s="2">
        <v>321</v>
      </c>
      <c r="S54" s="2">
        <v>23.225000000000001</v>
      </c>
      <c r="T54" s="2">
        <v>3</v>
      </c>
      <c r="U54" s="11">
        <v>69.674999999999997</v>
      </c>
    </row>
    <row r="55" spans="15:21" x14ac:dyDescent="0.25">
      <c r="O55" s="10">
        <v>46104</v>
      </c>
      <c r="P55" s="2">
        <v>40750</v>
      </c>
      <c r="Q55" s="2" t="s">
        <v>106</v>
      </c>
      <c r="R55" s="2">
        <v>519</v>
      </c>
      <c r="S55" s="2">
        <v>20.375</v>
      </c>
      <c r="T55" s="2">
        <v>3</v>
      </c>
      <c r="U55" s="11">
        <v>61.125</v>
      </c>
    </row>
    <row r="56" spans="15:21" x14ac:dyDescent="0.25">
      <c r="O56" s="10">
        <v>46104</v>
      </c>
      <c r="P56" s="2">
        <v>19600</v>
      </c>
      <c r="Q56" s="2" t="s">
        <v>66</v>
      </c>
      <c r="R56" s="2">
        <v>321</v>
      </c>
      <c r="S56" s="2">
        <v>9.8000000000000007</v>
      </c>
      <c r="T56" s="2">
        <v>3</v>
      </c>
      <c r="U56" s="11">
        <v>29.4</v>
      </c>
    </row>
    <row r="57" spans="15:21" x14ac:dyDescent="0.25">
      <c r="O57" s="10">
        <v>46104</v>
      </c>
      <c r="P57" s="2">
        <v>6550</v>
      </c>
      <c r="Q57" s="2" t="s">
        <v>106</v>
      </c>
      <c r="R57" s="2">
        <v>519</v>
      </c>
      <c r="S57" s="2">
        <v>3.2749999999999901</v>
      </c>
      <c r="T57" s="2">
        <v>2</v>
      </c>
      <c r="U57" s="11">
        <v>6.55</v>
      </c>
    </row>
    <row r="58" spans="15:21" x14ac:dyDescent="0.25">
      <c r="O58" s="10">
        <v>46104</v>
      </c>
      <c r="P58" s="2">
        <v>17400</v>
      </c>
      <c r="Q58" s="2" t="s">
        <v>106</v>
      </c>
      <c r="R58" s="2">
        <v>519</v>
      </c>
      <c r="S58" s="2">
        <v>8.6999999999999904</v>
      </c>
      <c r="T58" s="2">
        <v>3</v>
      </c>
      <c r="U58" s="11">
        <v>26.099999999999898</v>
      </c>
    </row>
    <row r="59" spans="15:21" x14ac:dyDescent="0.25">
      <c r="O59" s="10">
        <v>46104</v>
      </c>
      <c r="P59" s="2">
        <v>2000</v>
      </c>
      <c r="Q59" s="2" t="s">
        <v>110</v>
      </c>
      <c r="R59" s="2">
        <v>147</v>
      </c>
      <c r="S59" s="2">
        <v>1</v>
      </c>
      <c r="T59" s="2">
        <v>1</v>
      </c>
      <c r="U59" s="11">
        <v>1</v>
      </c>
    </row>
    <row r="60" spans="15:21" x14ac:dyDescent="0.25">
      <c r="O60" s="10">
        <v>46083</v>
      </c>
      <c r="P60" s="2">
        <v>11300</v>
      </c>
      <c r="Q60" s="2" t="s">
        <v>120</v>
      </c>
      <c r="R60" s="2">
        <v>736</v>
      </c>
      <c r="S60" s="2">
        <v>5.65</v>
      </c>
      <c r="T60" s="2">
        <v>2</v>
      </c>
      <c r="U60" s="11">
        <v>11.3</v>
      </c>
    </row>
    <row r="61" spans="15:21" x14ac:dyDescent="0.25">
      <c r="O61" s="10">
        <v>46083</v>
      </c>
      <c r="P61" s="2">
        <v>12200</v>
      </c>
      <c r="Q61" s="2" t="s">
        <v>63</v>
      </c>
      <c r="R61" s="2">
        <v>321</v>
      </c>
      <c r="S61" s="2">
        <v>6.1</v>
      </c>
      <c r="T61" s="2">
        <v>2</v>
      </c>
      <c r="U61" s="11">
        <v>12.2</v>
      </c>
    </row>
    <row r="62" spans="15:21" x14ac:dyDescent="0.25">
      <c r="O62" s="10">
        <v>46083</v>
      </c>
      <c r="P62" s="2">
        <v>37500</v>
      </c>
      <c r="Q62" s="2" t="s">
        <v>67</v>
      </c>
      <c r="R62" s="2">
        <v>518</v>
      </c>
      <c r="S62" s="2">
        <v>18.75</v>
      </c>
      <c r="T62" s="2">
        <v>3</v>
      </c>
      <c r="U62" s="11">
        <v>56.25</v>
      </c>
    </row>
    <row r="63" spans="15:21" x14ac:dyDescent="0.25">
      <c r="O63" s="10">
        <v>46083</v>
      </c>
      <c r="P63" s="2">
        <v>28750</v>
      </c>
      <c r="Q63" s="2" t="s">
        <v>65</v>
      </c>
      <c r="R63" s="2">
        <v>384</v>
      </c>
      <c r="S63" s="2">
        <v>14.375</v>
      </c>
      <c r="T63" s="2">
        <v>3</v>
      </c>
      <c r="U63" s="11">
        <v>43.125</v>
      </c>
    </row>
    <row r="64" spans="15:21" x14ac:dyDescent="0.25">
      <c r="O64" s="10">
        <v>46083</v>
      </c>
      <c r="P64" s="2">
        <v>29300</v>
      </c>
      <c r="Q64" s="2" t="s">
        <v>103</v>
      </c>
      <c r="R64" s="2">
        <v>590</v>
      </c>
      <c r="S64" s="2">
        <v>14.65</v>
      </c>
      <c r="T64" s="2">
        <v>3</v>
      </c>
      <c r="U64" s="11">
        <v>43.95</v>
      </c>
    </row>
    <row r="65" spans="15:21" x14ac:dyDescent="0.25">
      <c r="O65" s="10">
        <v>46083</v>
      </c>
      <c r="P65" s="2">
        <v>31500</v>
      </c>
      <c r="Q65" s="2" t="s">
        <v>103</v>
      </c>
      <c r="R65" s="2" t="s">
        <v>121</v>
      </c>
      <c r="S65" s="2">
        <v>15.75</v>
      </c>
      <c r="T65" s="2">
        <v>3</v>
      </c>
      <c r="U65" s="11">
        <v>47.25</v>
      </c>
    </row>
    <row r="66" spans="15:21" x14ac:dyDescent="0.25">
      <c r="O66" s="10">
        <v>46083</v>
      </c>
      <c r="P66" s="2">
        <v>18650</v>
      </c>
      <c r="Q66" s="2" t="s">
        <v>103</v>
      </c>
      <c r="R66" s="2" t="s">
        <v>122</v>
      </c>
      <c r="S66" s="2">
        <v>9.3249999999999904</v>
      </c>
      <c r="T66" s="2">
        <v>3</v>
      </c>
      <c r="U66" s="11">
        <v>27.974999999999898</v>
      </c>
    </row>
    <row r="67" spans="15:21" x14ac:dyDescent="0.25">
      <c r="O67" s="10">
        <v>46084</v>
      </c>
      <c r="P67" s="2">
        <v>8600</v>
      </c>
      <c r="Q67" s="2" t="s">
        <v>110</v>
      </c>
      <c r="R67" s="2">
        <v>144</v>
      </c>
      <c r="S67" s="2">
        <v>4.3</v>
      </c>
      <c r="T67" s="2">
        <v>2</v>
      </c>
      <c r="U67" s="11">
        <v>8.6</v>
      </c>
    </row>
    <row r="68" spans="15:21" x14ac:dyDescent="0.25">
      <c r="O68" s="10">
        <v>46084</v>
      </c>
      <c r="P68" s="2">
        <v>54950</v>
      </c>
      <c r="Q68" s="2" t="s">
        <v>67</v>
      </c>
      <c r="R68" s="2">
        <v>518</v>
      </c>
      <c r="S68" s="2">
        <v>27.475000000000001</v>
      </c>
      <c r="T68" s="2">
        <v>3</v>
      </c>
      <c r="U68" s="11">
        <v>82.424999999999997</v>
      </c>
    </row>
    <row r="69" spans="15:21" x14ac:dyDescent="0.25">
      <c r="O69" s="10">
        <v>46084</v>
      </c>
      <c r="P69" s="2">
        <v>37200</v>
      </c>
      <c r="Q69" s="2" t="s">
        <v>67</v>
      </c>
      <c r="R69" s="2">
        <v>518</v>
      </c>
      <c r="S69" s="2">
        <v>18.600000000000001</v>
      </c>
      <c r="T69" s="2">
        <v>3</v>
      </c>
      <c r="U69" s="11">
        <v>55.8</v>
      </c>
    </row>
    <row r="70" spans="15:21" x14ac:dyDescent="0.25">
      <c r="O70" s="10">
        <v>46084</v>
      </c>
      <c r="P70" s="2">
        <v>9950</v>
      </c>
      <c r="Q70" s="2" t="s">
        <v>69</v>
      </c>
      <c r="R70" s="2">
        <v>260</v>
      </c>
      <c r="S70" s="2">
        <v>4.9749999999999899</v>
      </c>
      <c r="T70" s="2">
        <v>2</v>
      </c>
      <c r="U70" s="11">
        <v>9.9499999999999904</v>
      </c>
    </row>
    <row r="71" spans="15:21" x14ac:dyDescent="0.25">
      <c r="O71" s="10">
        <v>46085</v>
      </c>
      <c r="P71" s="2">
        <v>33550</v>
      </c>
      <c r="Q71" s="2" t="s">
        <v>75</v>
      </c>
      <c r="R71" s="2">
        <v>952</v>
      </c>
      <c r="S71" s="2">
        <v>16.774999999999899</v>
      </c>
      <c r="T71" s="2">
        <v>3</v>
      </c>
      <c r="U71" s="11">
        <v>50.324999999999903</v>
      </c>
    </row>
    <row r="72" spans="15:21" x14ac:dyDescent="0.25">
      <c r="O72" s="10">
        <v>46085</v>
      </c>
      <c r="P72" s="2">
        <v>17650</v>
      </c>
      <c r="Q72" s="2" t="s">
        <v>75</v>
      </c>
      <c r="R72" s="2">
        <v>952</v>
      </c>
      <c r="S72" s="2">
        <v>8.8249999999999904</v>
      </c>
      <c r="T72" s="2">
        <v>3</v>
      </c>
      <c r="U72" s="11">
        <v>26.474999999999898</v>
      </c>
    </row>
    <row r="73" spans="15:21" x14ac:dyDescent="0.25">
      <c r="O73" s="10">
        <v>46085</v>
      </c>
      <c r="P73" s="2">
        <v>19800</v>
      </c>
      <c r="Q73" s="2" t="s">
        <v>75</v>
      </c>
      <c r="R73" s="2">
        <v>952</v>
      </c>
      <c r="S73" s="2">
        <v>9.9</v>
      </c>
      <c r="T73" s="2">
        <v>3</v>
      </c>
      <c r="U73" s="11">
        <v>29.7</v>
      </c>
    </row>
    <row r="74" spans="15:21" x14ac:dyDescent="0.25">
      <c r="O74" s="10">
        <v>46085</v>
      </c>
      <c r="P74" s="2">
        <v>11400</v>
      </c>
      <c r="Q74" s="2" t="s">
        <v>75</v>
      </c>
      <c r="R74" s="2">
        <v>952</v>
      </c>
      <c r="S74" s="2">
        <v>5.7</v>
      </c>
      <c r="T74" s="2">
        <v>3</v>
      </c>
      <c r="U74" s="11">
        <v>17.100000000000001</v>
      </c>
    </row>
    <row r="75" spans="15:21" x14ac:dyDescent="0.25">
      <c r="O75" s="10">
        <v>46085</v>
      </c>
      <c r="P75" s="2">
        <v>13500</v>
      </c>
      <c r="Q75" s="2" t="s">
        <v>116</v>
      </c>
      <c r="R75" s="2">
        <v>321</v>
      </c>
      <c r="S75" s="2">
        <v>6.75</v>
      </c>
      <c r="T75" s="2">
        <v>3</v>
      </c>
      <c r="U75" s="11">
        <v>20.25</v>
      </c>
    </row>
    <row r="76" spans="15:21" x14ac:dyDescent="0.25">
      <c r="O76" s="10">
        <v>46085</v>
      </c>
      <c r="P76" s="2">
        <v>22600</v>
      </c>
      <c r="Q76" s="2" t="s">
        <v>117</v>
      </c>
      <c r="R76" s="2">
        <v>952</v>
      </c>
      <c r="S76" s="2">
        <v>11.3</v>
      </c>
      <c r="T76" s="2">
        <v>3</v>
      </c>
      <c r="U76" s="11">
        <v>33.9</v>
      </c>
    </row>
    <row r="77" spans="15:21" x14ac:dyDescent="0.25">
      <c r="O77" s="10">
        <v>46085</v>
      </c>
      <c r="P77" s="2">
        <v>10400</v>
      </c>
      <c r="Q77" s="2" t="s">
        <v>118</v>
      </c>
      <c r="R77" s="2">
        <v>518</v>
      </c>
      <c r="S77" s="2">
        <v>5.2</v>
      </c>
      <c r="T77" s="2">
        <v>3</v>
      </c>
      <c r="U77" s="11">
        <v>15.6</v>
      </c>
    </row>
    <row r="78" spans="15:21" x14ac:dyDescent="0.25">
      <c r="O78" s="10">
        <v>46086</v>
      </c>
      <c r="P78" s="2">
        <v>20600</v>
      </c>
      <c r="Q78" s="2" t="s">
        <v>70</v>
      </c>
      <c r="R78" s="2">
        <v>952</v>
      </c>
      <c r="S78" s="2">
        <v>10.3</v>
      </c>
      <c r="T78" s="2">
        <v>1</v>
      </c>
      <c r="U78" s="11">
        <v>10.3</v>
      </c>
    </row>
    <row r="79" spans="15:21" x14ac:dyDescent="0.25">
      <c r="O79" s="10">
        <v>46086</v>
      </c>
      <c r="P79" s="2">
        <v>32900</v>
      </c>
      <c r="Q79" s="2" t="s">
        <v>70</v>
      </c>
      <c r="R79" s="2">
        <v>952</v>
      </c>
      <c r="S79" s="2">
        <v>16.45</v>
      </c>
      <c r="T79" s="2">
        <v>2</v>
      </c>
      <c r="U79" s="11">
        <v>32.9</v>
      </c>
    </row>
    <row r="80" spans="15:21" x14ac:dyDescent="0.25">
      <c r="O80" s="10">
        <v>46086</v>
      </c>
      <c r="P80" s="2">
        <v>26700</v>
      </c>
      <c r="Q80" s="2" t="s">
        <v>119</v>
      </c>
      <c r="R80" s="2">
        <v>952</v>
      </c>
      <c r="S80" s="2">
        <v>13.35</v>
      </c>
      <c r="T80" s="2">
        <v>3</v>
      </c>
      <c r="U80" s="11">
        <v>40.049999999999898</v>
      </c>
    </row>
    <row r="81" spans="15:21" x14ac:dyDescent="0.25">
      <c r="O81" s="10">
        <v>46086</v>
      </c>
      <c r="P81" s="2">
        <v>36900</v>
      </c>
      <c r="Q81" s="2" t="s">
        <v>69</v>
      </c>
      <c r="R81" s="2">
        <v>260</v>
      </c>
      <c r="S81" s="2">
        <v>18.45</v>
      </c>
      <c r="T81" s="2">
        <v>3</v>
      </c>
      <c r="U81" s="11">
        <v>55.349999999999902</v>
      </c>
    </row>
    <row r="82" spans="15:21" x14ac:dyDescent="0.25">
      <c r="O82" s="10">
        <v>46087</v>
      </c>
      <c r="P82" s="2">
        <v>82350</v>
      </c>
      <c r="Q82" s="2" t="s">
        <v>69</v>
      </c>
      <c r="R82" s="2">
        <v>260</v>
      </c>
      <c r="S82" s="2">
        <v>41.174999999999898</v>
      </c>
      <c r="T82" s="2">
        <v>3</v>
      </c>
      <c r="U82" s="11">
        <v>123.524999999999</v>
      </c>
    </row>
    <row r="83" spans="15:21" x14ac:dyDescent="0.25">
      <c r="O83" s="10">
        <v>46087</v>
      </c>
      <c r="P83" s="2">
        <v>18250</v>
      </c>
      <c r="Q83" s="2" t="s">
        <v>64</v>
      </c>
      <c r="R83" s="2">
        <v>260</v>
      </c>
      <c r="S83" s="2">
        <v>9.125</v>
      </c>
      <c r="T83" s="2">
        <v>3</v>
      </c>
      <c r="U83" s="11">
        <v>27.375</v>
      </c>
    </row>
    <row r="84" spans="15:21" x14ac:dyDescent="0.25">
      <c r="O84" s="10">
        <v>46087</v>
      </c>
      <c r="P84" s="2">
        <v>6450</v>
      </c>
      <c r="Q84" s="2" t="s">
        <v>64</v>
      </c>
      <c r="R84" s="2">
        <v>261</v>
      </c>
      <c r="S84" s="2">
        <v>3.2250000000000001</v>
      </c>
      <c r="T84" s="2">
        <v>3</v>
      </c>
      <c r="U84" s="11">
        <v>9.6750000000000007</v>
      </c>
    </row>
    <row r="85" spans="15:21" x14ac:dyDescent="0.25">
      <c r="O85" s="10">
        <v>46090</v>
      </c>
      <c r="P85" s="2">
        <v>34200</v>
      </c>
      <c r="Q85" s="2" t="s">
        <v>102</v>
      </c>
      <c r="R85" s="2">
        <v>321</v>
      </c>
      <c r="S85" s="2">
        <v>17.100000000000001</v>
      </c>
      <c r="T85" s="2">
        <v>3</v>
      </c>
      <c r="U85" s="11">
        <v>51.3</v>
      </c>
    </row>
    <row r="86" spans="15:21" x14ac:dyDescent="0.25">
      <c r="O86" s="10">
        <v>46090</v>
      </c>
      <c r="P86" s="2">
        <v>35400</v>
      </c>
      <c r="Q86" s="2" t="s">
        <v>70</v>
      </c>
      <c r="R86" s="2">
        <v>952</v>
      </c>
      <c r="S86" s="2">
        <v>17.7</v>
      </c>
      <c r="T86" s="2">
        <v>3</v>
      </c>
      <c r="U86" s="11">
        <v>53.099999999999902</v>
      </c>
    </row>
    <row r="87" spans="15:21" x14ac:dyDescent="0.25">
      <c r="O87" s="10">
        <v>46090</v>
      </c>
      <c r="P87" s="2">
        <v>10800</v>
      </c>
      <c r="Q87" s="2" t="s">
        <v>70</v>
      </c>
      <c r="R87" s="2">
        <v>952</v>
      </c>
      <c r="S87" s="2">
        <v>5.4</v>
      </c>
      <c r="T87" s="2">
        <v>3</v>
      </c>
      <c r="U87" s="11">
        <v>16.2</v>
      </c>
    </row>
    <row r="88" spans="15:21" x14ac:dyDescent="0.25">
      <c r="O88" s="10">
        <v>46090</v>
      </c>
      <c r="P88" s="2">
        <v>45950</v>
      </c>
      <c r="Q88" s="2" t="s">
        <v>69</v>
      </c>
      <c r="R88" s="2">
        <v>261</v>
      </c>
      <c r="S88" s="2">
        <v>22.975000000000001</v>
      </c>
      <c r="T88" s="2">
        <v>3</v>
      </c>
      <c r="U88" s="11">
        <v>68.924999999999997</v>
      </c>
    </row>
    <row r="89" spans="15:21" x14ac:dyDescent="0.25">
      <c r="O89" s="10">
        <v>46090</v>
      </c>
      <c r="P89" s="2">
        <v>14500</v>
      </c>
      <c r="Q89" s="2" t="s">
        <v>102</v>
      </c>
      <c r="R89" s="2">
        <v>321</v>
      </c>
      <c r="S89" s="2">
        <v>7.25</v>
      </c>
      <c r="T89" s="2">
        <v>3</v>
      </c>
      <c r="U89" s="11">
        <v>21.75</v>
      </c>
    </row>
    <row r="90" spans="15:21" x14ac:dyDescent="0.25">
      <c r="O90" s="12"/>
      <c r="U90" s="11"/>
    </row>
    <row r="91" spans="15:21" ht="15.75" thickBot="1" x14ac:dyDescent="0.3">
      <c r="O91" s="17" t="s">
        <v>111</v>
      </c>
      <c r="P91" s="15"/>
      <c r="Q91" s="15"/>
      <c r="R91" s="15"/>
      <c r="S91" s="15">
        <f>SUM(S2:S89)</f>
        <v>1023.3999999999999</v>
      </c>
      <c r="T91" s="15"/>
      <c r="U91" s="14">
        <f>SUM(U2:U89)</f>
        <v>2946.9749999999976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T14"/>
  <sheetViews>
    <sheetView workbookViewId="0">
      <selection activeCell="N17" sqref="N17"/>
    </sheetView>
  </sheetViews>
  <sheetFormatPr defaultRowHeight="15" x14ac:dyDescent="0.25"/>
  <cols>
    <col min="1" max="1" width="10.5703125" customWidth="1"/>
    <col min="2" max="2" width="15.42578125" customWidth="1"/>
    <col min="3" max="3" width="7.42578125" customWidth="1"/>
    <col min="4" max="4" width="9.7109375" bestFit="1" customWidth="1"/>
    <col min="5" max="5" width="11.85546875" bestFit="1" customWidth="1"/>
    <col min="6" max="6" width="8.85546875" bestFit="1" customWidth="1"/>
    <col min="7" max="7" width="1.42578125" customWidth="1"/>
    <col min="8" max="8" width="11.5703125" customWidth="1"/>
    <col min="9" max="9" width="14" customWidth="1"/>
    <col min="14" max="14" width="1.7109375" customWidth="1"/>
    <col min="15" max="15" width="10.85546875" customWidth="1"/>
    <col min="16" max="16" width="12.5703125" customWidth="1"/>
    <col min="18" max="18" width="11.140625" customWidth="1"/>
    <col min="19" max="19" width="12.140625" customWidth="1"/>
  </cols>
  <sheetData>
    <row r="1" spans="1:20" ht="15.75" thickBot="1" x14ac:dyDescent="0.3">
      <c r="A1" s="18" t="s">
        <v>82</v>
      </c>
      <c r="B1" s="19" t="s">
        <v>83</v>
      </c>
      <c r="C1" s="19" t="s">
        <v>84</v>
      </c>
      <c r="D1" s="19" t="s">
        <v>85</v>
      </c>
      <c r="E1" s="19" t="s">
        <v>86</v>
      </c>
      <c r="F1" s="20" t="s">
        <v>87</v>
      </c>
      <c r="H1" s="27" t="s">
        <v>82</v>
      </c>
      <c r="I1" s="28" t="s">
        <v>83</v>
      </c>
      <c r="J1" s="28" t="s">
        <v>84</v>
      </c>
      <c r="K1" s="28" t="s">
        <v>85</v>
      </c>
      <c r="L1" s="28" t="s">
        <v>86</v>
      </c>
      <c r="M1" s="29" t="s">
        <v>87</v>
      </c>
      <c r="O1" s="27" t="s">
        <v>82</v>
      </c>
      <c r="P1" s="28" t="s">
        <v>83</v>
      </c>
      <c r="Q1" s="28" t="s">
        <v>84</v>
      </c>
      <c r="R1" s="28" t="s">
        <v>85</v>
      </c>
      <c r="S1" s="28" t="s">
        <v>86</v>
      </c>
      <c r="T1" s="29" t="s">
        <v>87</v>
      </c>
    </row>
    <row r="2" spans="1:20" x14ac:dyDescent="0.25">
      <c r="A2" s="21">
        <v>46036</v>
      </c>
      <c r="B2" s="22" t="s">
        <v>88</v>
      </c>
      <c r="C2" s="22">
        <v>28950</v>
      </c>
      <c r="D2" s="22">
        <v>14.475</v>
      </c>
      <c r="E2" s="22" t="s">
        <v>89</v>
      </c>
      <c r="F2" s="23">
        <v>321</v>
      </c>
      <c r="H2" s="21">
        <v>46063</v>
      </c>
      <c r="I2" s="22" t="s">
        <v>40</v>
      </c>
      <c r="J2" s="22">
        <v>50700</v>
      </c>
      <c r="K2" s="22">
        <v>25.35</v>
      </c>
      <c r="L2" s="22" t="s">
        <v>90</v>
      </c>
      <c r="M2" s="23">
        <v>951</v>
      </c>
      <c r="O2" s="21">
        <v>46099</v>
      </c>
      <c r="P2" s="22" t="s">
        <v>40</v>
      </c>
      <c r="Q2" s="22">
        <v>65550</v>
      </c>
      <c r="R2" s="22">
        <v>32.774999999999999</v>
      </c>
      <c r="S2" s="22" t="s">
        <v>90</v>
      </c>
      <c r="T2" s="23">
        <v>952</v>
      </c>
    </row>
    <row r="3" spans="1:20" x14ac:dyDescent="0.25">
      <c r="A3" s="10">
        <v>46036</v>
      </c>
      <c r="B3" s="2" t="s">
        <v>40</v>
      </c>
      <c r="C3" s="2">
        <v>16400</v>
      </c>
      <c r="D3" s="2">
        <v>8.1999999999999993</v>
      </c>
      <c r="E3" s="2" t="s">
        <v>90</v>
      </c>
      <c r="F3" s="11">
        <v>952</v>
      </c>
      <c r="H3" s="10">
        <v>46063</v>
      </c>
      <c r="I3" s="2" t="s">
        <v>88</v>
      </c>
      <c r="J3" s="2">
        <v>45050</v>
      </c>
      <c r="K3" s="2">
        <v>22.524999999999999</v>
      </c>
      <c r="L3" s="2" t="s">
        <v>89</v>
      </c>
      <c r="M3" s="11">
        <v>321</v>
      </c>
      <c r="O3" s="10">
        <v>46104</v>
      </c>
      <c r="P3" s="2" t="s">
        <v>88</v>
      </c>
      <c r="Q3" s="2">
        <v>23450</v>
      </c>
      <c r="R3" s="2">
        <v>11.725</v>
      </c>
      <c r="S3" s="2" t="s">
        <v>131</v>
      </c>
      <c r="T3" s="11">
        <v>321</v>
      </c>
    </row>
    <row r="4" spans="1:20" x14ac:dyDescent="0.25">
      <c r="A4" s="10">
        <v>46038</v>
      </c>
      <c r="B4" s="2" t="s">
        <v>91</v>
      </c>
      <c r="C4" s="2">
        <v>28900</v>
      </c>
      <c r="D4" s="2">
        <v>14.45</v>
      </c>
      <c r="E4" s="2" t="s">
        <v>92</v>
      </c>
      <c r="F4" s="11">
        <v>620</v>
      </c>
      <c r="H4" s="10">
        <v>46063</v>
      </c>
      <c r="I4" s="2" t="s">
        <v>26</v>
      </c>
      <c r="J4" s="2">
        <v>85800</v>
      </c>
      <c r="K4" s="2">
        <v>42.9</v>
      </c>
      <c r="L4" s="2" t="s">
        <v>93</v>
      </c>
      <c r="M4" s="11">
        <v>384</v>
      </c>
      <c r="O4" s="10">
        <v>46104</v>
      </c>
      <c r="P4" s="2" t="s">
        <v>94</v>
      </c>
      <c r="Q4" s="2">
        <v>42100</v>
      </c>
      <c r="R4" s="2">
        <v>21.05</v>
      </c>
      <c r="S4" s="2" t="s">
        <v>95</v>
      </c>
      <c r="T4" s="11" t="s">
        <v>18</v>
      </c>
    </row>
    <row r="5" spans="1:20" x14ac:dyDescent="0.25">
      <c r="A5" s="10">
        <v>46038</v>
      </c>
      <c r="B5" s="2" t="s">
        <v>26</v>
      </c>
      <c r="C5" s="2">
        <v>33100</v>
      </c>
      <c r="D5" s="2">
        <v>16.55</v>
      </c>
      <c r="E5" s="2" t="s">
        <v>93</v>
      </c>
      <c r="F5" s="11">
        <v>384</v>
      </c>
      <c r="H5" s="10">
        <v>46080</v>
      </c>
      <c r="I5" s="2" t="s">
        <v>112</v>
      </c>
      <c r="J5" s="2">
        <v>34000</v>
      </c>
      <c r="K5" s="2">
        <v>17</v>
      </c>
      <c r="L5" s="2" t="s">
        <v>113</v>
      </c>
      <c r="M5" s="11">
        <v>518</v>
      </c>
      <c r="O5" s="10">
        <v>46104</v>
      </c>
      <c r="P5" s="2" t="s">
        <v>26</v>
      </c>
      <c r="Q5" s="2">
        <v>73850</v>
      </c>
      <c r="R5" s="2">
        <v>36.924999999999997</v>
      </c>
      <c r="S5" s="2" t="s">
        <v>93</v>
      </c>
      <c r="T5" s="11">
        <v>384</v>
      </c>
    </row>
    <row r="6" spans="1:20" x14ac:dyDescent="0.25">
      <c r="A6" s="10">
        <v>46048</v>
      </c>
      <c r="B6" s="2" t="s">
        <v>94</v>
      </c>
      <c r="C6" s="2">
        <v>39800</v>
      </c>
      <c r="D6" s="2">
        <v>19.899999999999999</v>
      </c>
      <c r="E6" s="2" t="s">
        <v>95</v>
      </c>
      <c r="F6" s="11" t="s">
        <v>96</v>
      </c>
      <c r="H6" s="10">
        <v>46080</v>
      </c>
      <c r="I6" s="2" t="s">
        <v>114</v>
      </c>
      <c r="J6" s="2">
        <v>27350</v>
      </c>
      <c r="K6" s="2">
        <v>13.675000000000001</v>
      </c>
      <c r="L6" s="2" t="s">
        <v>115</v>
      </c>
      <c r="M6" s="11">
        <v>260</v>
      </c>
      <c r="O6" s="10">
        <v>46104</v>
      </c>
      <c r="P6" s="2" t="s">
        <v>26</v>
      </c>
      <c r="Q6" s="2">
        <v>66500</v>
      </c>
      <c r="R6" s="2">
        <v>33.25</v>
      </c>
      <c r="S6" s="2" t="s">
        <v>93</v>
      </c>
      <c r="T6" s="11">
        <v>384</v>
      </c>
    </row>
    <row r="7" spans="1:20" x14ac:dyDescent="0.25">
      <c r="A7" s="10">
        <v>46048</v>
      </c>
      <c r="B7" s="2" t="s">
        <v>40</v>
      </c>
      <c r="C7" s="2">
        <v>29300</v>
      </c>
      <c r="D7" s="2">
        <v>14.65</v>
      </c>
      <c r="E7" s="2" t="s">
        <v>90</v>
      </c>
      <c r="F7" s="11">
        <v>953</v>
      </c>
      <c r="H7" s="10">
        <v>46080</v>
      </c>
      <c r="I7" s="2" t="s">
        <v>104</v>
      </c>
      <c r="J7" s="2">
        <v>41150</v>
      </c>
      <c r="K7" s="2">
        <v>20.574999999999999</v>
      </c>
      <c r="L7" s="2" t="s">
        <v>90</v>
      </c>
      <c r="M7" s="11">
        <v>952</v>
      </c>
      <c r="O7" s="10">
        <v>46104</v>
      </c>
      <c r="P7" s="2" t="s">
        <v>39</v>
      </c>
      <c r="Q7" s="2">
        <v>96750</v>
      </c>
      <c r="R7" s="2">
        <v>48.375</v>
      </c>
      <c r="S7" s="2" t="s">
        <v>132</v>
      </c>
      <c r="T7" s="11">
        <v>590</v>
      </c>
    </row>
    <row r="8" spans="1:20" x14ac:dyDescent="0.25">
      <c r="A8" s="10">
        <v>46028</v>
      </c>
      <c r="B8" s="2" t="s">
        <v>40</v>
      </c>
      <c r="C8" s="2">
        <v>24550</v>
      </c>
      <c r="D8" s="2">
        <v>12.275</v>
      </c>
      <c r="E8" s="2" t="s">
        <v>90</v>
      </c>
      <c r="F8" s="11">
        <v>952</v>
      </c>
      <c r="H8" s="10">
        <v>46080</v>
      </c>
      <c r="I8" s="2" t="s">
        <v>105</v>
      </c>
      <c r="J8" s="2">
        <v>65400</v>
      </c>
      <c r="K8" s="2">
        <v>32.700000000000003</v>
      </c>
      <c r="L8" s="2" t="s">
        <v>93</v>
      </c>
      <c r="M8" s="11">
        <v>384</v>
      </c>
      <c r="O8" s="16" t="s">
        <v>133</v>
      </c>
      <c r="P8" s="25" t="s">
        <v>99</v>
      </c>
      <c r="Q8" s="25">
        <v>368200</v>
      </c>
      <c r="R8" s="25"/>
      <c r="S8" s="2"/>
      <c r="T8" s="11"/>
    </row>
    <row r="9" spans="1:20" ht="15.75" thickBot="1" x14ac:dyDescent="0.3">
      <c r="A9" s="10">
        <v>46028</v>
      </c>
      <c r="B9" s="2" t="s">
        <v>94</v>
      </c>
      <c r="C9" s="2">
        <v>41200</v>
      </c>
      <c r="D9" s="2">
        <v>20.6</v>
      </c>
      <c r="E9" s="2" t="s">
        <v>95</v>
      </c>
      <c r="F9" s="11" t="s">
        <v>96</v>
      </c>
      <c r="H9" s="10">
        <v>46080</v>
      </c>
      <c r="I9" s="2" t="s">
        <v>105</v>
      </c>
      <c r="J9" s="2">
        <v>63500</v>
      </c>
      <c r="K9" s="2">
        <v>31.75</v>
      </c>
      <c r="L9" s="2" t="s">
        <v>93</v>
      </c>
      <c r="M9" s="11">
        <v>384</v>
      </c>
      <c r="O9" s="17"/>
      <c r="P9" s="15" t="s">
        <v>100</v>
      </c>
      <c r="Q9" s="15"/>
      <c r="R9" s="15">
        <v>184.1</v>
      </c>
      <c r="S9" s="13"/>
      <c r="T9" s="26"/>
    </row>
    <row r="10" spans="1:20" x14ac:dyDescent="0.25">
      <c r="A10" s="10">
        <v>46028</v>
      </c>
      <c r="B10" s="2" t="s">
        <v>26</v>
      </c>
      <c r="C10" s="2">
        <v>68600</v>
      </c>
      <c r="D10" s="2">
        <v>34.299999999999997</v>
      </c>
      <c r="E10" s="2" t="s">
        <v>93</v>
      </c>
      <c r="F10" s="11">
        <v>384</v>
      </c>
      <c r="H10" s="10">
        <v>46080</v>
      </c>
      <c r="I10" s="2" t="s">
        <v>94</v>
      </c>
      <c r="J10" s="2">
        <v>23950</v>
      </c>
      <c r="K10" s="2">
        <v>11.975</v>
      </c>
      <c r="L10" s="2" t="s">
        <v>95</v>
      </c>
      <c r="M10" s="11" t="s">
        <v>18</v>
      </c>
    </row>
    <row r="11" spans="1:20" x14ac:dyDescent="0.25">
      <c r="A11" s="10">
        <v>46028</v>
      </c>
      <c r="B11" s="2" t="s">
        <v>26</v>
      </c>
      <c r="C11" s="2">
        <v>57500</v>
      </c>
      <c r="D11" s="2">
        <v>28.75</v>
      </c>
      <c r="E11" s="2" t="s">
        <v>93</v>
      </c>
      <c r="F11" s="11">
        <v>384</v>
      </c>
      <c r="H11" s="16" t="s">
        <v>98</v>
      </c>
      <c r="I11" s="25" t="s">
        <v>99</v>
      </c>
      <c r="J11" s="25">
        <v>436900</v>
      </c>
      <c r="K11" s="25"/>
      <c r="L11" s="2"/>
      <c r="M11" s="11"/>
    </row>
    <row r="12" spans="1:20" ht="15.75" thickBot="1" x14ac:dyDescent="0.3">
      <c r="A12" s="10">
        <v>46029</v>
      </c>
      <c r="B12" s="2" t="s">
        <v>94</v>
      </c>
      <c r="C12" s="2">
        <v>35350</v>
      </c>
      <c r="D12" s="2">
        <v>17.675000000000001</v>
      </c>
      <c r="E12" s="2" t="s">
        <v>95</v>
      </c>
      <c r="F12" s="11" t="s">
        <v>96</v>
      </c>
      <c r="H12" s="17"/>
      <c r="I12" s="15" t="s">
        <v>100</v>
      </c>
      <c r="J12" s="15"/>
      <c r="K12" s="15">
        <v>218.45</v>
      </c>
      <c r="L12" s="13"/>
      <c r="M12" s="26"/>
    </row>
    <row r="13" spans="1:20" x14ac:dyDescent="0.25">
      <c r="A13" s="16" t="s">
        <v>97</v>
      </c>
      <c r="B13" s="25" t="s">
        <v>99</v>
      </c>
      <c r="C13" s="25">
        <v>403650</v>
      </c>
      <c r="D13" s="25"/>
      <c r="E13" s="2"/>
      <c r="F13" s="11"/>
    </row>
    <row r="14" spans="1:20" ht="15.75" thickBot="1" x14ac:dyDescent="0.3">
      <c r="A14" s="30"/>
      <c r="B14" s="15" t="s">
        <v>100</v>
      </c>
      <c r="C14" s="15"/>
      <c r="D14" s="15">
        <v>201.82499999999999</v>
      </c>
      <c r="E14" s="13"/>
      <c r="F14" s="2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AA293-A2BF-40BB-BC1C-D0220D21BA0E}">
  <dimension ref="A1:R58"/>
  <sheetViews>
    <sheetView workbookViewId="0">
      <selection activeCell="C37" sqref="C37"/>
    </sheetView>
  </sheetViews>
  <sheetFormatPr defaultRowHeight="15" x14ac:dyDescent="0.25"/>
  <cols>
    <col min="1" max="1" width="12.28515625" bestFit="1" customWidth="1"/>
    <col min="2" max="2" width="8" bestFit="1" customWidth="1"/>
    <col min="3" max="3" width="19.85546875" bestFit="1" customWidth="1"/>
    <col min="4" max="4" width="9" bestFit="1" customWidth="1"/>
    <col min="5" max="5" width="29.42578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5703125" customWidth="1"/>
    <col min="13" max="13" width="16.28515625" customWidth="1"/>
  </cols>
  <sheetData>
    <row r="1" spans="1:18" ht="15.75" thickBot="1" x14ac:dyDescent="0.3">
      <c r="A1" s="119" t="s">
        <v>208</v>
      </c>
      <c r="B1" s="120"/>
      <c r="C1" s="121"/>
      <c r="M1" s="122">
        <v>28</v>
      </c>
      <c r="N1" s="115" t="s">
        <v>212</v>
      </c>
      <c r="O1" s="115"/>
      <c r="P1" s="115"/>
      <c r="Q1" s="115"/>
      <c r="R1" s="115"/>
    </row>
    <row r="2" spans="1:18" ht="15.75" thickBot="1" x14ac:dyDescent="0.3">
      <c r="A2" s="58" t="s">
        <v>207</v>
      </c>
      <c r="B2" s="58" t="s">
        <v>206</v>
      </c>
      <c r="C2" s="58" t="s">
        <v>204</v>
      </c>
      <c r="D2" s="59" t="s">
        <v>205</v>
      </c>
      <c r="E2" s="59" t="s">
        <v>204</v>
      </c>
      <c r="F2" s="59" t="s">
        <v>203</v>
      </c>
      <c r="G2" s="59" t="s">
        <v>202</v>
      </c>
      <c r="H2" s="59" t="s">
        <v>201</v>
      </c>
      <c r="I2" s="59" t="s">
        <v>200</v>
      </c>
      <c r="J2" s="59" t="s">
        <v>199</v>
      </c>
      <c r="K2" s="59" t="s">
        <v>198</v>
      </c>
      <c r="L2" s="59" t="s">
        <v>197</v>
      </c>
      <c r="M2" s="122"/>
      <c r="N2" s="115"/>
      <c r="O2" s="115"/>
      <c r="P2" s="115"/>
      <c r="Q2" s="115"/>
      <c r="R2" s="115"/>
    </row>
    <row r="3" spans="1:18" x14ac:dyDescent="0.25">
      <c r="A3" s="60" t="s">
        <v>196</v>
      </c>
      <c r="B3" s="61">
        <v>1326018</v>
      </c>
      <c r="C3" s="61" t="s">
        <v>152</v>
      </c>
      <c r="D3" s="61">
        <v>10011503</v>
      </c>
      <c r="E3" s="62" t="s">
        <v>142</v>
      </c>
      <c r="F3" s="61">
        <v>235600</v>
      </c>
      <c r="G3" s="61">
        <v>65400</v>
      </c>
      <c r="H3" s="63">
        <v>170200</v>
      </c>
      <c r="I3" s="64">
        <v>236000</v>
      </c>
      <c r="J3" s="64">
        <v>62200</v>
      </c>
      <c r="K3" s="65">
        <v>408</v>
      </c>
      <c r="L3" s="66" t="s">
        <v>136</v>
      </c>
      <c r="M3" s="118" t="s">
        <v>230</v>
      </c>
    </row>
    <row r="4" spans="1:18" x14ac:dyDescent="0.25">
      <c r="A4" s="54"/>
      <c r="B4" s="39"/>
      <c r="C4" s="39"/>
      <c r="D4" s="39"/>
      <c r="E4" s="39"/>
      <c r="F4" s="39"/>
      <c r="G4" s="39"/>
      <c r="H4" s="38"/>
      <c r="I4" s="37"/>
      <c r="J4" s="37"/>
      <c r="K4" s="35"/>
      <c r="L4" s="47" t="s">
        <v>184</v>
      </c>
      <c r="M4" s="118"/>
    </row>
    <row r="5" spans="1:18" x14ac:dyDescent="0.25">
      <c r="A5" s="53" t="s">
        <v>195</v>
      </c>
      <c r="B5" s="44">
        <v>1326015</v>
      </c>
      <c r="C5" s="44" t="s">
        <v>152</v>
      </c>
      <c r="D5" s="44">
        <v>10011558</v>
      </c>
      <c r="E5" s="56" t="s">
        <v>160</v>
      </c>
      <c r="F5" s="44">
        <v>249400</v>
      </c>
      <c r="G5" s="44">
        <v>59000</v>
      </c>
      <c r="H5" s="43">
        <v>190400</v>
      </c>
      <c r="I5" s="46">
        <v>249900</v>
      </c>
      <c r="J5" s="46">
        <v>57550</v>
      </c>
      <c r="K5" s="45">
        <v>606</v>
      </c>
      <c r="L5" s="52" t="s">
        <v>136</v>
      </c>
      <c r="M5" s="118" t="s">
        <v>230</v>
      </c>
    </row>
    <row r="6" spans="1:18" x14ac:dyDescent="0.25">
      <c r="A6" s="54"/>
      <c r="B6" s="39"/>
      <c r="C6" s="39"/>
      <c r="D6" s="39"/>
      <c r="E6" s="39"/>
      <c r="F6" s="39"/>
      <c r="G6" s="39"/>
      <c r="H6" s="38"/>
      <c r="I6" s="37"/>
      <c r="J6" s="35"/>
      <c r="K6" s="35"/>
      <c r="L6" s="47" t="s">
        <v>186</v>
      </c>
      <c r="M6" s="118"/>
    </row>
    <row r="7" spans="1:18" x14ac:dyDescent="0.25">
      <c r="A7" s="53" t="s">
        <v>194</v>
      </c>
      <c r="B7" s="44">
        <v>1390356</v>
      </c>
      <c r="C7" s="44" t="s">
        <v>138</v>
      </c>
      <c r="D7" s="44">
        <v>10011509</v>
      </c>
      <c r="E7" s="56" t="s">
        <v>137</v>
      </c>
      <c r="F7" s="44">
        <v>261300</v>
      </c>
      <c r="G7" s="44">
        <v>61240</v>
      </c>
      <c r="H7" s="43">
        <v>200060</v>
      </c>
      <c r="I7" s="46">
        <v>261100</v>
      </c>
      <c r="J7" s="46">
        <v>60950</v>
      </c>
      <c r="K7" s="45">
        <v>504</v>
      </c>
      <c r="L7" s="52" t="s">
        <v>136</v>
      </c>
      <c r="M7" s="118" t="s">
        <v>230</v>
      </c>
    </row>
    <row r="8" spans="1:18" x14ac:dyDescent="0.25">
      <c r="A8" s="54"/>
      <c r="B8" s="39"/>
      <c r="C8" s="39"/>
      <c r="D8" s="39"/>
      <c r="E8" s="39"/>
      <c r="F8" s="39"/>
      <c r="G8" s="39"/>
      <c r="H8" s="38"/>
      <c r="I8" s="37"/>
      <c r="J8" s="35"/>
      <c r="K8" s="35"/>
      <c r="L8" s="47" t="s">
        <v>186</v>
      </c>
      <c r="M8" s="118"/>
    </row>
    <row r="9" spans="1:18" x14ac:dyDescent="0.25">
      <c r="A9" s="53" t="s">
        <v>193</v>
      </c>
      <c r="B9" s="44">
        <v>1390356</v>
      </c>
      <c r="C9" s="44" t="s">
        <v>138</v>
      </c>
      <c r="D9" s="44">
        <v>10011509</v>
      </c>
      <c r="E9" s="56" t="s">
        <v>137</v>
      </c>
      <c r="F9" s="44">
        <v>259100</v>
      </c>
      <c r="G9" s="44">
        <v>60080</v>
      </c>
      <c r="H9" s="43">
        <v>199020</v>
      </c>
      <c r="I9" s="46">
        <v>259250</v>
      </c>
      <c r="J9" s="46">
        <v>60450</v>
      </c>
      <c r="K9" s="45">
        <v>505</v>
      </c>
      <c r="L9" s="52" t="s">
        <v>136</v>
      </c>
      <c r="M9" s="118" t="s">
        <v>230</v>
      </c>
    </row>
    <row r="10" spans="1:18" x14ac:dyDescent="0.25">
      <c r="A10" s="54"/>
      <c r="B10" s="39"/>
      <c r="C10" s="39"/>
      <c r="D10" s="39"/>
      <c r="E10" s="39"/>
      <c r="F10" s="39"/>
      <c r="G10" s="39"/>
      <c r="H10" s="38"/>
      <c r="I10" s="35"/>
      <c r="J10" s="35"/>
      <c r="K10" s="35"/>
      <c r="L10" s="47" t="s">
        <v>186</v>
      </c>
      <c r="M10" s="118"/>
    </row>
    <row r="11" spans="1:18" x14ac:dyDescent="0.25">
      <c r="A11" s="53" t="s">
        <v>192</v>
      </c>
      <c r="B11" s="44">
        <v>1442707</v>
      </c>
      <c r="C11" s="44" t="s">
        <v>156</v>
      </c>
      <c r="D11" s="44">
        <v>10011503</v>
      </c>
      <c r="E11" s="56" t="s">
        <v>142</v>
      </c>
      <c r="F11" s="44">
        <v>260200</v>
      </c>
      <c r="G11" s="44">
        <v>59860</v>
      </c>
      <c r="H11" s="43">
        <v>200340</v>
      </c>
      <c r="I11" s="46">
        <v>259950</v>
      </c>
      <c r="J11" s="46">
        <v>59750</v>
      </c>
      <c r="K11" s="45">
        <v>401</v>
      </c>
      <c r="L11" s="52" t="s">
        <v>136</v>
      </c>
      <c r="M11" s="118" t="s">
        <v>230</v>
      </c>
    </row>
    <row r="12" spans="1:18" x14ac:dyDescent="0.25">
      <c r="A12" s="54"/>
      <c r="B12" s="39"/>
      <c r="C12" s="39"/>
      <c r="D12" s="39"/>
      <c r="E12" s="39"/>
      <c r="F12" s="39"/>
      <c r="G12" s="39"/>
      <c r="H12" s="38"/>
      <c r="I12" s="37"/>
      <c r="J12" s="35"/>
      <c r="K12" s="35"/>
      <c r="L12" s="47" t="s">
        <v>186</v>
      </c>
      <c r="M12" s="118"/>
    </row>
    <row r="13" spans="1:18" x14ac:dyDescent="0.25">
      <c r="A13" s="53" t="s">
        <v>191</v>
      </c>
      <c r="B13" s="44">
        <v>1437334</v>
      </c>
      <c r="C13" s="44" t="s">
        <v>165</v>
      </c>
      <c r="D13" s="44">
        <v>10011509</v>
      </c>
      <c r="E13" s="56" t="s">
        <v>137</v>
      </c>
      <c r="F13" s="44">
        <v>258850</v>
      </c>
      <c r="G13" s="44">
        <v>59800</v>
      </c>
      <c r="H13" s="43">
        <v>199050</v>
      </c>
      <c r="I13" s="46">
        <v>257400</v>
      </c>
      <c r="J13" s="46">
        <v>59800</v>
      </c>
      <c r="K13" s="45">
        <v>504</v>
      </c>
      <c r="L13" s="52" t="s">
        <v>136</v>
      </c>
      <c r="M13" s="118" t="s">
        <v>230</v>
      </c>
    </row>
    <row r="14" spans="1:18" x14ac:dyDescent="0.25">
      <c r="A14" s="54"/>
      <c r="B14" s="39"/>
      <c r="C14" s="39"/>
      <c r="D14" s="39"/>
      <c r="E14" s="39"/>
      <c r="F14" s="39"/>
      <c r="G14" s="39"/>
      <c r="H14" s="38"/>
      <c r="I14" s="37"/>
      <c r="J14" s="35"/>
      <c r="K14" s="35"/>
      <c r="L14" s="47" t="s">
        <v>184</v>
      </c>
      <c r="M14" s="118"/>
    </row>
    <row r="15" spans="1:18" x14ac:dyDescent="0.25">
      <c r="A15" s="53" t="s">
        <v>190</v>
      </c>
      <c r="B15" s="44">
        <v>1442707</v>
      </c>
      <c r="C15" s="44" t="s">
        <v>156</v>
      </c>
      <c r="D15" s="44">
        <v>10011503</v>
      </c>
      <c r="E15" s="56" t="s">
        <v>142</v>
      </c>
      <c r="F15" s="44">
        <v>262700</v>
      </c>
      <c r="G15" s="44">
        <v>61900</v>
      </c>
      <c r="H15" s="43">
        <v>200800</v>
      </c>
      <c r="I15" s="46">
        <v>262400</v>
      </c>
      <c r="J15" s="46">
        <v>61750</v>
      </c>
      <c r="K15" s="45" t="s">
        <v>182</v>
      </c>
      <c r="L15" s="52" t="s">
        <v>136</v>
      </c>
      <c r="M15" s="118" t="s">
        <v>230</v>
      </c>
    </row>
    <row r="16" spans="1:18" x14ac:dyDescent="0.25">
      <c r="A16" s="54"/>
      <c r="B16" s="39"/>
      <c r="C16" s="39"/>
      <c r="D16" s="39"/>
      <c r="E16" s="36" t="s">
        <v>189</v>
      </c>
      <c r="F16" s="39"/>
      <c r="G16" s="39"/>
      <c r="H16" s="38"/>
      <c r="I16" s="37"/>
      <c r="J16" s="35"/>
      <c r="K16" s="35"/>
      <c r="L16" s="47" t="s">
        <v>186</v>
      </c>
      <c r="M16" s="118"/>
    </row>
    <row r="17" spans="1:13" x14ac:dyDescent="0.25">
      <c r="A17" s="53" t="s">
        <v>188</v>
      </c>
      <c r="B17" s="44">
        <v>1641256</v>
      </c>
      <c r="C17" s="44" t="s">
        <v>187</v>
      </c>
      <c r="D17" s="44">
        <v>10011509</v>
      </c>
      <c r="E17" s="56" t="s">
        <v>137</v>
      </c>
      <c r="F17" s="44">
        <v>260300</v>
      </c>
      <c r="G17" s="44">
        <v>54200</v>
      </c>
      <c r="H17" s="43">
        <v>206100</v>
      </c>
      <c r="I17" s="46">
        <v>258350</v>
      </c>
      <c r="J17" s="46">
        <v>53450</v>
      </c>
      <c r="K17" s="45">
        <v>504</v>
      </c>
      <c r="L17" s="52" t="s">
        <v>136</v>
      </c>
      <c r="M17" s="118" t="s">
        <v>230</v>
      </c>
    </row>
    <row r="18" spans="1:13" x14ac:dyDescent="0.25">
      <c r="A18" s="54"/>
      <c r="B18" s="39"/>
      <c r="C18" s="39"/>
      <c r="D18" s="39"/>
      <c r="E18" s="39"/>
      <c r="F18" s="39"/>
      <c r="G18" s="39"/>
      <c r="H18" s="38"/>
      <c r="I18" s="37"/>
      <c r="J18" s="35"/>
      <c r="K18" s="35"/>
      <c r="L18" s="47" t="s">
        <v>186</v>
      </c>
      <c r="M18" s="118"/>
    </row>
    <row r="19" spans="1:13" x14ac:dyDescent="0.25">
      <c r="A19" s="53" t="s">
        <v>185</v>
      </c>
      <c r="B19" s="44">
        <v>1326018</v>
      </c>
      <c r="C19" s="44" t="s">
        <v>152</v>
      </c>
      <c r="D19" s="44">
        <v>10011503</v>
      </c>
      <c r="E19" s="56" t="s">
        <v>142</v>
      </c>
      <c r="F19" s="44">
        <v>259500</v>
      </c>
      <c r="G19" s="44">
        <v>61600</v>
      </c>
      <c r="H19" s="43">
        <v>197900</v>
      </c>
      <c r="I19" s="46">
        <v>261600</v>
      </c>
      <c r="J19" s="46">
        <v>61200</v>
      </c>
      <c r="K19" s="45">
        <v>408</v>
      </c>
      <c r="L19" s="52" t="s">
        <v>136</v>
      </c>
      <c r="M19" s="118" t="s">
        <v>230</v>
      </c>
    </row>
    <row r="20" spans="1:13" ht="15.75" thickBot="1" x14ac:dyDescent="0.3">
      <c r="A20" s="51"/>
      <c r="B20" s="49"/>
      <c r="C20" s="49"/>
      <c r="D20" s="49"/>
      <c r="E20" s="49"/>
      <c r="F20" s="49"/>
      <c r="G20" s="49"/>
      <c r="H20" s="73"/>
      <c r="I20" s="48"/>
      <c r="J20" s="48"/>
      <c r="K20" s="74"/>
      <c r="L20" s="75" t="s">
        <v>184</v>
      </c>
      <c r="M20" s="118"/>
    </row>
    <row r="21" spans="1:13" x14ac:dyDescent="0.25">
      <c r="A21" s="60" t="s">
        <v>183</v>
      </c>
      <c r="B21" s="61">
        <v>1326018</v>
      </c>
      <c r="C21" s="61" t="s">
        <v>152</v>
      </c>
      <c r="D21" s="61">
        <v>10011503</v>
      </c>
      <c r="E21" s="84" t="s">
        <v>142</v>
      </c>
      <c r="F21" s="61">
        <v>254500</v>
      </c>
      <c r="G21" s="61">
        <v>69800</v>
      </c>
      <c r="H21" s="61">
        <v>184700</v>
      </c>
      <c r="I21" s="77">
        <v>256350</v>
      </c>
      <c r="J21" s="65">
        <v>68250</v>
      </c>
      <c r="K21" s="65" t="s">
        <v>182</v>
      </c>
      <c r="L21" s="78" t="s">
        <v>136</v>
      </c>
      <c r="M21" s="118" t="s">
        <v>230</v>
      </c>
    </row>
    <row r="22" spans="1:13" x14ac:dyDescent="0.25">
      <c r="A22" s="54"/>
      <c r="B22" s="39"/>
      <c r="C22" s="39"/>
      <c r="D22" s="39"/>
      <c r="E22" s="36" t="s">
        <v>181</v>
      </c>
      <c r="F22" s="39"/>
      <c r="G22" s="39"/>
      <c r="H22" s="39"/>
      <c r="I22" s="40"/>
      <c r="J22" s="35"/>
      <c r="K22" s="35"/>
      <c r="L22" s="68" t="s">
        <v>134</v>
      </c>
      <c r="M22" s="118"/>
    </row>
    <row r="23" spans="1:13" x14ac:dyDescent="0.25">
      <c r="A23" s="53" t="s">
        <v>180</v>
      </c>
      <c r="B23" s="44">
        <v>1325985</v>
      </c>
      <c r="C23" s="44" t="s">
        <v>152</v>
      </c>
      <c r="D23" s="44">
        <v>10011533</v>
      </c>
      <c r="E23" s="85" t="s">
        <v>151</v>
      </c>
      <c r="F23" s="44">
        <v>237800</v>
      </c>
      <c r="G23" s="44">
        <v>72700</v>
      </c>
      <c r="H23" s="44">
        <v>165100</v>
      </c>
      <c r="I23" s="55">
        <v>238650</v>
      </c>
      <c r="J23" s="45">
        <v>70750</v>
      </c>
      <c r="K23" s="45" t="s">
        <v>179</v>
      </c>
      <c r="L23" s="67" t="s">
        <v>136</v>
      </c>
      <c r="M23" s="118" t="s">
        <v>230</v>
      </c>
    </row>
    <row r="24" spans="1:13" ht="15.75" thickBot="1" x14ac:dyDescent="0.3">
      <c r="A24" s="51"/>
      <c r="B24" s="49"/>
      <c r="C24" s="49"/>
      <c r="D24" s="49"/>
      <c r="E24" s="50" t="s">
        <v>178</v>
      </c>
      <c r="F24" s="49"/>
      <c r="G24" s="49"/>
      <c r="H24" s="49"/>
      <c r="I24" s="79"/>
      <c r="J24" s="74"/>
      <c r="K24" s="74"/>
      <c r="L24" s="80" t="s">
        <v>134</v>
      </c>
      <c r="M24" s="118"/>
    </row>
    <row r="25" spans="1:13" x14ac:dyDescent="0.25">
      <c r="A25" s="60" t="s">
        <v>177</v>
      </c>
      <c r="B25" s="61">
        <v>1325995</v>
      </c>
      <c r="C25" s="61" t="s">
        <v>152</v>
      </c>
      <c r="D25" s="61">
        <v>10011669</v>
      </c>
      <c r="E25" s="84" t="s">
        <v>176</v>
      </c>
      <c r="F25" s="61">
        <v>249100</v>
      </c>
      <c r="G25" s="61">
        <v>68200</v>
      </c>
      <c r="H25" s="61">
        <v>180900</v>
      </c>
      <c r="I25" s="64">
        <v>249400</v>
      </c>
      <c r="J25" s="64">
        <v>66900</v>
      </c>
      <c r="K25" s="65" t="s">
        <v>175</v>
      </c>
      <c r="L25" s="78" t="s">
        <v>136</v>
      </c>
      <c r="M25" s="117" t="s">
        <v>229</v>
      </c>
    </row>
    <row r="26" spans="1:13" x14ac:dyDescent="0.25">
      <c r="A26" s="54"/>
      <c r="B26" s="39"/>
      <c r="C26" s="39"/>
      <c r="D26" s="39"/>
      <c r="E26" s="36" t="s">
        <v>174</v>
      </c>
      <c r="F26" s="39"/>
      <c r="G26" s="39"/>
      <c r="H26" s="39"/>
      <c r="I26" s="37"/>
      <c r="J26" s="37"/>
      <c r="K26" s="37"/>
      <c r="L26" s="68" t="s">
        <v>134</v>
      </c>
      <c r="M26" s="117"/>
    </row>
    <row r="27" spans="1:13" x14ac:dyDescent="0.25">
      <c r="A27" s="53" t="s">
        <v>173</v>
      </c>
      <c r="B27" s="44">
        <v>1640300</v>
      </c>
      <c r="C27" s="44" t="s">
        <v>165</v>
      </c>
      <c r="D27" s="44">
        <v>10011503</v>
      </c>
      <c r="E27" s="85" t="s">
        <v>142</v>
      </c>
      <c r="F27" s="44">
        <v>216000</v>
      </c>
      <c r="G27" s="44">
        <v>65200</v>
      </c>
      <c r="H27" s="44">
        <v>150800</v>
      </c>
      <c r="I27" s="46">
        <v>214750</v>
      </c>
      <c r="J27" s="46">
        <v>62000</v>
      </c>
      <c r="K27" s="45">
        <v>401</v>
      </c>
      <c r="L27" s="67" t="s">
        <v>136</v>
      </c>
      <c r="M27" s="117" t="s">
        <v>227</v>
      </c>
    </row>
    <row r="28" spans="1:13" x14ac:dyDescent="0.25">
      <c r="A28" s="54"/>
      <c r="B28" s="39"/>
      <c r="C28" s="39"/>
      <c r="D28" s="39"/>
      <c r="E28" s="39"/>
      <c r="F28" s="39"/>
      <c r="G28" s="39"/>
      <c r="H28" s="39"/>
      <c r="I28" s="37"/>
      <c r="J28" s="35"/>
      <c r="K28" s="35"/>
      <c r="L28" s="68" t="s">
        <v>134</v>
      </c>
      <c r="M28" s="117"/>
    </row>
    <row r="29" spans="1:13" x14ac:dyDescent="0.25">
      <c r="A29" s="53" t="s">
        <v>172</v>
      </c>
      <c r="B29" s="44">
        <v>1390356</v>
      </c>
      <c r="C29" s="44" t="s">
        <v>138</v>
      </c>
      <c r="D29" s="44">
        <v>10011509</v>
      </c>
      <c r="E29" s="85" t="s">
        <v>137</v>
      </c>
      <c r="F29" s="44">
        <v>259650</v>
      </c>
      <c r="G29" s="44">
        <v>62580</v>
      </c>
      <c r="H29" s="44">
        <v>197070</v>
      </c>
      <c r="I29" s="46">
        <v>260300</v>
      </c>
      <c r="J29" s="45">
        <v>63550</v>
      </c>
      <c r="K29" s="45" t="s">
        <v>168</v>
      </c>
      <c r="L29" s="67" t="s">
        <v>136</v>
      </c>
      <c r="M29" s="116" t="s">
        <v>228</v>
      </c>
    </row>
    <row r="30" spans="1:13" x14ac:dyDescent="0.25">
      <c r="A30" s="54"/>
      <c r="B30" s="39"/>
      <c r="C30" s="39"/>
      <c r="D30" s="39"/>
      <c r="E30" s="36" t="s">
        <v>167</v>
      </c>
      <c r="F30" s="39"/>
      <c r="G30" s="39"/>
      <c r="H30" s="39"/>
      <c r="I30" s="37"/>
      <c r="J30" s="37"/>
      <c r="K30" s="37"/>
      <c r="L30" s="68" t="s">
        <v>134</v>
      </c>
      <c r="M30" s="116"/>
    </row>
    <row r="31" spans="1:13" x14ac:dyDescent="0.25">
      <c r="A31" s="53" t="s">
        <v>171</v>
      </c>
      <c r="B31" s="44">
        <v>1437870</v>
      </c>
      <c r="C31" s="44" t="s">
        <v>170</v>
      </c>
      <c r="D31" s="44">
        <v>10011660</v>
      </c>
      <c r="E31" s="85" t="s">
        <v>164</v>
      </c>
      <c r="F31" s="44">
        <v>262300</v>
      </c>
      <c r="G31" s="44">
        <v>64380</v>
      </c>
      <c r="H31" s="44">
        <v>197920</v>
      </c>
      <c r="I31" s="46">
        <v>263050</v>
      </c>
      <c r="J31" s="46">
        <v>63700</v>
      </c>
      <c r="K31" s="45">
        <v>147</v>
      </c>
      <c r="L31" s="67" t="s">
        <v>136</v>
      </c>
      <c r="M31" s="117" t="s">
        <v>226</v>
      </c>
    </row>
    <row r="32" spans="1:13" x14ac:dyDescent="0.25">
      <c r="A32" s="54"/>
      <c r="B32" s="39"/>
      <c r="C32" s="39"/>
      <c r="D32" s="39"/>
      <c r="E32" s="39"/>
      <c r="F32" s="39"/>
      <c r="G32" s="39"/>
      <c r="H32" s="39"/>
      <c r="I32" s="37"/>
      <c r="J32" s="37"/>
      <c r="K32" s="37"/>
      <c r="L32" s="68" t="s">
        <v>134</v>
      </c>
      <c r="M32" s="117"/>
    </row>
    <row r="33" spans="1:13" x14ac:dyDescent="0.25">
      <c r="A33" s="53" t="s">
        <v>169</v>
      </c>
      <c r="B33" s="44">
        <v>1641253</v>
      </c>
      <c r="C33" s="44" t="s">
        <v>147</v>
      </c>
      <c r="D33" s="44">
        <v>10011509</v>
      </c>
      <c r="E33" s="85" t="s">
        <v>137</v>
      </c>
      <c r="F33" s="44">
        <v>213100</v>
      </c>
      <c r="G33" s="44">
        <v>76300</v>
      </c>
      <c r="H33" s="44">
        <v>136800</v>
      </c>
      <c r="I33" s="46">
        <v>220750</v>
      </c>
      <c r="J33" s="45">
        <v>78750</v>
      </c>
      <c r="K33" s="45" t="s">
        <v>168</v>
      </c>
      <c r="L33" s="67" t="s">
        <v>136</v>
      </c>
      <c r="M33" s="117" t="s">
        <v>225</v>
      </c>
    </row>
    <row r="34" spans="1:13" x14ac:dyDescent="0.25">
      <c r="A34" s="69"/>
      <c r="B34" s="39"/>
      <c r="C34" s="39"/>
      <c r="D34" s="39"/>
      <c r="E34" s="36" t="s">
        <v>167</v>
      </c>
      <c r="F34" s="39"/>
      <c r="G34" s="39"/>
      <c r="H34" s="39"/>
      <c r="I34" s="35" t="s">
        <v>146</v>
      </c>
      <c r="J34" s="37"/>
      <c r="K34" s="37"/>
      <c r="L34" s="68" t="s">
        <v>134</v>
      </c>
      <c r="M34" s="117"/>
    </row>
    <row r="35" spans="1:13" x14ac:dyDescent="0.25">
      <c r="A35" s="53" t="s">
        <v>166</v>
      </c>
      <c r="B35" s="44">
        <v>1647024</v>
      </c>
      <c r="C35" s="44" t="s">
        <v>165</v>
      </c>
      <c r="D35" s="44">
        <v>10011660</v>
      </c>
      <c r="E35" s="85" t="s">
        <v>164</v>
      </c>
      <c r="F35" s="44">
        <v>261600</v>
      </c>
      <c r="G35" s="44">
        <v>72500</v>
      </c>
      <c r="H35" s="44">
        <v>189100</v>
      </c>
      <c r="I35" s="46">
        <v>251100</v>
      </c>
      <c r="J35" s="46">
        <v>66300</v>
      </c>
      <c r="K35" s="45">
        <v>147</v>
      </c>
      <c r="L35" s="67" t="s">
        <v>136</v>
      </c>
      <c r="M35" s="117" t="s">
        <v>224</v>
      </c>
    </row>
    <row r="36" spans="1:13" ht="15.75" thickBot="1" x14ac:dyDescent="0.3">
      <c r="A36" s="81"/>
      <c r="B36" s="49"/>
      <c r="C36" s="49"/>
      <c r="D36" s="49"/>
      <c r="E36" s="49"/>
      <c r="F36" s="49"/>
      <c r="G36" s="49"/>
      <c r="H36" s="49"/>
      <c r="I36" s="74" t="s">
        <v>146</v>
      </c>
      <c r="J36" s="48"/>
      <c r="K36" s="48"/>
      <c r="L36" s="80" t="s">
        <v>134</v>
      </c>
      <c r="M36" s="117"/>
    </row>
    <row r="37" spans="1:13" x14ac:dyDescent="0.25">
      <c r="A37" s="60" t="s">
        <v>163</v>
      </c>
      <c r="B37" s="61">
        <v>1326018</v>
      </c>
      <c r="C37" s="61" t="s">
        <v>152</v>
      </c>
      <c r="D37" s="61">
        <v>10011503</v>
      </c>
      <c r="E37" s="84" t="s">
        <v>142</v>
      </c>
      <c r="F37" s="61">
        <v>247400</v>
      </c>
      <c r="G37" s="61">
        <v>67200</v>
      </c>
      <c r="H37" s="61">
        <v>180200</v>
      </c>
      <c r="I37" s="64">
        <v>248400</v>
      </c>
      <c r="J37" s="64">
        <v>69700</v>
      </c>
      <c r="K37" s="65">
        <v>401</v>
      </c>
      <c r="L37" s="66" t="s">
        <v>136</v>
      </c>
      <c r="M37" s="117" t="s">
        <v>223</v>
      </c>
    </row>
    <row r="38" spans="1:13" x14ac:dyDescent="0.25">
      <c r="A38" s="54"/>
      <c r="B38" s="39"/>
      <c r="C38" s="39"/>
      <c r="D38" s="39"/>
      <c r="E38" s="39"/>
      <c r="F38" s="39"/>
      <c r="G38" s="39"/>
      <c r="H38" s="39"/>
      <c r="I38" s="37"/>
      <c r="J38" s="37"/>
      <c r="K38" s="37"/>
      <c r="L38" s="47" t="s">
        <v>134</v>
      </c>
      <c r="M38" s="117"/>
    </row>
    <row r="39" spans="1:13" x14ac:dyDescent="0.25">
      <c r="A39" s="53" t="s">
        <v>162</v>
      </c>
      <c r="B39" s="44">
        <v>1326015</v>
      </c>
      <c r="C39" s="44" t="s">
        <v>152</v>
      </c>
      <c r="D39" s="44">
        <v>10011558</v>
      </c>
      <c r="E39" s="85" t="s">
        <v>160</v>
      </c>
      <c r="F39" s="44">
        <v>240300</v>
      </c>
      <c r="G39" s="44">
        <v>69600</v>
      </c>
      <c r="H39" s="44">
        <v>170700</v>
      </c>
      <c r="I39" s="46">
        <v>241750</v>
      </c>
      <c r="J39" s="83">
        <v>71300</v>
      </c>
      <c r="K39" s="45">
        <v>606</v>
      </c>
      <c r="L39" s="52" t="s">
        <v>136</v>
      </c>
      <c r="M39" s="117" t="s">
        <v>222</v>
      </c>
    </row>
    <row r="40" spans="1:13" x14ac:dyDescent="0.25">
      <c r="A40" s="54"/>
      <c r="B40" s="39"/>
      <c r="C40" s="39"/>
      <c r="D40" s="39"/>
      <c r="E40" s="39"/>
      <c r="F40" s="39"/>
      <c r="G40" s="39"/>
      <c r="H40" s="39"/>
      <c r="I40" s="37"/>
      <c r="J40" s="37"/>
      <c r="K40" s="37"/>
      <c r="L40" s="47" t="s">
        <v>134</v>
      </c>
      <c r="M40" s="117"/>
    </row>
    <row r="41" spans="1:13" x14ac:dyDescent="0.25">
      <c r="A41" s="53" t="s">
        <v>161</v>
      </c>
      <c r="B41" s="44">
        <v>1326015</v>
      </c>
      <c r="C41" s="44" t="s">
        <v>152</v>
      </c>
      <c r="D41" s="44">
        <v>10011558</v>
      </c>
      <c r="E41" s="85" t="s">
        <v>160</v>
      </c>
      <c r="F41" s="44">
        <v>241600</v>
      </c>
      <c r="G41" s="44">
        <v>63900</v>
      </c>
      <c r="H41" s="44">
        <v>177700</v>
      </c>
      <c r="I41" s="46">
        <v>242000</v>
      </c>
      <c r="J41" s="46">
        <v>56950</v>
      </c>
      <c r="K41" s="45">
        <v>144</v>
      </c>
      <c r="L41" s="52" t="s">
        <v>136</v>
      </c>
      <c r="M41" s="117" t="s">
        <v>221</v>
      </c>
    </row>
    <row r="42" spans="1:13" x14ac:dyDescent="0.25">
      <c r="A42" s="54"/>
      <c r="B42" s="39"/>
      <c r="C42" s="39"/>
      <c r="D42" s="39"/>
      <c r="E42" s="36" t="s">
        <v>159</v>
      </c>
      <c r="F42" s="39"/>
      <c r="G42" s="39"/>
      <c r="H42" s="39"/>
      <c r="I42" s="37"/>
      <c r="J42" s="37"/>
      <c r="K42" s="37"/>
      <c r="L42" s="47" t="s">
        <v>134</v>
      </c>
      <c r="M42" s="117"/>
    </row>
    <row r="43" spans="1:13" x14ac:dyDescent="0.25">
      <c r="A43" s="53" t="s">
        <v>158</v>
      </c>
      <c r="B43" s="44">
        <v>1326018</v>
      </c>
      <c r="C43" s="44" t="s">
        <v>152</v>
      </c>
      <c r="D43" s="44">
        <v>10011503</v>
      </c>
      <c r="E43" s="85" t="s">
        <v>142</v>
      </c>
      <c r="F43" s="44">
        <v>249700</v>
      </c>
      <c r="G43" s="44">
        <v>64200</v>
      </c>
      <c r="H43" s="44">
        <v>185500</v>
      </c>
      <c r="I43" s="46">
        <v>250350</v>
      </c>
      <c r="J43" s="46">
        <v>59950</v>
      </c>
      <c r="K43" s="45">
        <v>401</v>
      </c>
      <c r="L43" s="52" t="s">
        <v>136</v>
      </c>
      <c r="M43" s="117" t="s">
        <v>220</v>
      </c>
    </row>
    <row r="44" spans="1:13" x14ac:dyDescent="0.25">
      <c r="A44" s="54"/>
      <c r="B44" s="39"/>
      <c r="C44" s="39"/>
      <c r="D44" s="39"/>
      <c r="E44" s="39"/>
      <c r="F44" s="39"/>
      <c r="G44" s="39"/>
      <c r="H44" s="39"/>
      <c r="I44" s="37"/>
      <c r="J44" s="37"/>
      <c r="K44" s="37"/>
      <c r="L44" s="47" t="s">
        <v>134</v>
      </c>
      <c r="M44" s="117"/>
    </row>
    <row r="45" spans="1:13" x14ac:dyDescent="0.25">
      <c r="A45" s="53" t="s">
        <v>157</v>
      </c>
      <c r="B45" s="44">
        <v>1442707</v>
      </c>
      <c r="C45" s="44" t="s">
        <v>156</v>
      </c>
      <c r="D45" s="44">
        <v>10011503</v>
      </c>
      <c r="E45" s="85" t="s">
        <v>142</v>
      </c>
      <c r="F45" s="44">
        <v>260500</v>
      </c>
      <c r="G45" s="44">
        <v>63400</v>
      </c>
      <c r="H45" s="44">
        <v>197100</v>
      </c>
      <c r="I45" s="46">
        <v>261000</v>
      </c>
      <c r="J45" s="46">
        <v>63000</v>
      </c>
      <c r="K45" s="45" t="s">
        <v>155</v>
      </c>
      <c r="L45" s="52" t="s">
        <v>136</v>
      </c>
      <c r="M45" s="117" t="s">
        <v>219</v>
      </c>
    </row>
    <row r="46" spans="1:13" x14ac:dyDescent="0.25">
      <c r="A46" s="54"/>
      <c r="B46" s="39"/>
      <c r="C46" s="39"/>
      <c r="D46" s="39"/>
      <c r="E46" s="36" t="s">
        <v>154</v>
      </c>
      <c r="F46" s="39"/>
      <c r="G46" s="39"/>
      <c r="H46" s="39"/>
      <c r="I46" s="37"/>
      <c r="J46" s="37"/>
      <c r="K46" s="37"/>
      <c r="L46" s="47" t="s">
        <v>134</v>
      </c>
      <c r="M46" s="117"/>
    </row>
    <row r="47" spans="1:13" x14ac:dyDescent="0.25">
      <c r="A47" s="53" t="s">
        <v>153</v>
      </c>
      <c r="B47" s="44">
        <v>1325985</v>
      </c>
      <c r="C47" s="44" t="s">
        <v>152</v>
      </c>
      <c r="D47" s="44">
        <v>10011533</v>
      </c>
      <c r="E47" s="85" t="s">
        <v>151</v>
      </c>
      <c r="F47" s="44">
        <v>259100</v>
      </c>
      <c r="G47" s="44">
        <v>68600</v>
      </c>
      <c r="H47" s="44">
        <v>190500</v>
      </c>
      <c r="I47" s="46">
        <v>260400</v>
      </c>
      <c r="J47" s="46">
        <v>67300</v>
      </c>
      <c r="K47" s="45" t="s">
        <v>150</v>
      </c>
      <c r="L47" s="52" t="s">
        <v>136</v>
      </c>
      <c r="M47" s="117" t="s">
        <v>218</v>
      </c>
    </row>
    <row r="48" spans="1:13" ht="15.75" thickBot="1" x14ac:dyDescent="0.3">
      <c r="A48" s="51"/>
      <c r="B48" s="49"/>
      <c r="C48" s="49"/>
      <c r="D48" s="49"/>
      <c r="E48" s="50" t="s">
        <v>149</v>
      </c>
      <c r="F48" s="49"/>
      <c r="G48" s="49"/>
      <c r="H48" s="49"/>
      <c r="I48" s="48"/>
      <c r="J48" s="48"/>
      <c r="K48" s="48"/>
      <c r="L48" s="75" t="s">
        <v>134</v>
      </c>
      <c r="M48" s="117"/>
    </row>
    <row r="49" spans="1:13" x14ac:dyDescent="0.25">
      <c r="A49" s="60" t="s">
        <v>148</v>
      </c>
      <c r="B49" s="61">
        <v>1631154</v>
      </c>
      <c r="C49" s="61" t="s">
        <v>147</v>
      </c>
      <c r="D49" s="61">
        <v>10011509</v>
      </c>
      <c r="E49" s="84" t="s">
        <v>137</v>
      </c>
      <c r="F49" s="61">
        <v>250200</v>
      </c>
      <c r="G49" s="61">
        <v>77600</v>
      </c>
      <c r="H49" s="63">
        <v>172600</v>
      </c>
      <c r="I49" s="64">
        <v>276450</v>
      </c>
      <c r="J49" s="65">
        <v>82500</v>
      </c>
      <c r="K49" s="65">
        <v>504</v>
      </c>
      <c r="L49" s="66" t="s">
        <v>136</v>
      </c>
      <c r="M49" s="117" t="s">
        <v>217</v>
      </c>
    </row>
    <row r="50" spans="1:13" ht="15.75" thickBot="1" x14ac:dyDescent="0.3">
      <c r="A50" s="82"/>
      <c r="B50" s="49"/>
      <c r="C50" s="49"/>
      <c r="D50" s="49"/>
      <c r="E50" s="49"/>
      <c r="F50" s="49"/>
      <c r="G50" s="49"/>
      <c r="H50" s="73"/>
      <c r="I50" s="74" t="s">
        <v>146</v>
      </c>
      <c r="J50" s="48"/>
      <c r="K50" s="48"/>
      <c r="L50" s="75" t="s">
        <v>134</v>
      </c>
      <c r="M50" s="117"/>
    </row>
    <row r="51" spans="1:13" x14ac:dyDescent="0.25">
      <c r="A51" s="60" t="s">
        <v>145</v>
      </c>
      <c r="B51" s="61">
        <v>1390356</v>
      </c>
      <c r="C51" s="61" t="s">
        <v>138</v>
      </c>
      <c r="D51" s="61">
        <v>10011509</v>
      </c>
      <c r="E51" s="84" t="s">
        <v>137</v>
      </c>
      <c r="F51" s="61">
        <v>285450</v>
      </c>
      <c r="G51" s="61">
        <v>65280</v>
      </c>
      <c r="H51" s="61">
        <v>220170</v>
      </c>
      <c r="I51" s="64">
        <v>284600</v>
      </c>
      <c r="J51" s="64">
        <v>66250</v>
      </c>
      <c r="K51" s="65">
        <v>504</v>
      </c>
      <c r="L51" s="66" t="s">
        <v>136</v>
      </c>
      <c r="M51" s="117" t="s">
        <v>216</v>
      </c>
    </row>
    <row r="52" spans="1:13" x14ac:dyDescent="0.25">
      <c r="A52" s="54"/>
      <c r="B52" s="39"/>
      <c r="C52" s="36" t="s">
        <v>135</v>
      </c>
      <c r="D52" s="36" t="s">
        <v>211</v>
      </c>
      <c r="E52" s="39"/>
      <c r="F52" s="39"/>
      <c r="G52" s="39"/>
      <c r="H52" s="39"/>
      <c r="I52" s="37"/>
      <c r="J52" s="35"/>
      <c r="K52" s="35"/>
      <c r="L52" s="47" t="s">
        <v>209</v>
      </c>
      <c r="M52" s="117"/>
    </row>
    <row r="53" spans="1:13" x14ac:dyDescent="0.25">
      <c r="A53" s="53" t="s">
        <v>144</v>
      </c>
      <c r="B53" s="44">
        <v>1390362</v>
      </c>
      <c r="C53" s="44" t="s">
        <v>143</v>
      </c>
      <c r="D53" s="44">
        <v>10011503</v>
      </c>
      <c r="E53" s="85" t="s">
        <v>142</v>
      </c>
      <c r="F53" s="44">
        <v>259100</v>
      </c>
      <c r="G53" s="44">
        <v>60500</v>
      </c>
      <c r="H53" s="44">
        <v>198600</v>
      </c>
      <c r="I53" s="46">
        <v>258650</v>
      </c>
      <c r="J53" s="46">
        <v>61400</v>
      </c>
      <c r="K53" s="45" t="s">
        <v>141</v>
      </c>
      <c r="L53" s="52" t="s">
        <v>136</v>
      </c>
      <c r="M53" s="117" t="s">
        <v>215</v>
      </c>
    </row>
    <row r="54" spans="1:13" ht="15.75" thickBot="1" x14ac:dyDescent="0.3">
      <c r="A54" s="51"/>
      <c r="B54" s="49"/>
      <c r="C54" s="50" t="s">
        <v>135</v>
      </c>
      <c r="D54" s="50" t="s">
        <v>211</v>
      </c>
      <c r="E54" s="50" t="s">
        <v>210</v>
      </c>
      <c r="F54" s="49"/>
      <c r="G54" s="49"/>
      <c r="H54" s="49"/>
      <c r="I54" s="48"/>
      <c r="J54" s="74"/>
      <c r="K54" s="74"/>
      <c r="L54" s="75" t="s">
        <v>209</v>
      </c>
      <c r="M54" s="117"/>
    </row>
    <row r="55" spans="1:13" x14ac:dyDescent="0.25">
      <c r="A55" s="70" t="s">
        <v>140</v>
      </c>
      <c r="B55" s="76">
        <v>1390356</v>
      </c>
      <c r="C55" s="76" t="s">
        <v>138</v>
      </c>
      <c r="D55" s="76">
        <v>10011509</v>
      </c>
      <c r="E55" s="86" t="s">
        <v>137</v>
      </c>
      <c r="F55" s="76">
        <v>261300</v>
      </c>
      <c r="G55" s="76">
        <v>62160</v>
      </c>
      <c r="H55" s="57">
        <v>199140</v>
      </c>
      <c r="I55" s="42">
        <v>261450</v>
      </c>
      <c r="J55" s="72">
        <v>62400</v>
      </c>
      <c r="K55" s="41">
        <v>504</v>
      </c>
      <c r="L55" s="71" t="s">
        <v>136</v>
      </c>
      <c r="M55" s="117" t="s">
        <v>214</v>
      </c>
    </row>
    <row r="56" spans="1:13" x14ac:dyDescent="0.25">
      <c r="A56" s="54"/>
      <c r="B56" s="39"/>
      <c r="C56" s="36" t="s">
        <v>135</v>
      </c>
      <c r="D56" s="36" t="s">
        <v>211</v>
      </c>
      <c r="E56" s="39"/>
      <c r="F56" s="39"/>
      <c r="G56" s="39"/>
      <c r="H56" s="38"/>
      <c r="I56" s="37"/>
      <c r="J56" s="36"/>
      <c r="K56" s="35"/>
      <c r="L56" s="47" t="s">
        <v>209</v>
      </c>
      <c r="M56" s="117"/>
    </row>
    <row r="57" spans="1:13" x14ac:dyDescent="0.25">
      <c r="A57" s="53" t="s">
        <v>139</v>
      </c>
      <c r="B57" s="44">
        <v>1390356</v>
      </c>
      <c r="C57" s="44" t="s">
        <v>138</v>
      </c>
      <c r="D57" s="44">
        <v>10011509</v>
      </c>
      <c r="E57" s="85" t="s">
        <v>137</v>
      </c>
      <c r="F57" s="44">
        <v>259400</v>
      </c>
      <c r="G57" s="44">
        <v>59720</v>
      </c>
      <c r="H57" s="43">
        <v>199680</v>
      </c>
      <c r="I57" s="42">
        <v>259150</v>
      </c>
      <c r="J57" s="72">
        <v>59900</v>
      </c>
      <c r="K57" s="41">
        <v>504</v>
      </c>
      <c r="L57" s="52" t="s">
        <v>136</v>
      </c>
      <c r="M57" s="117" t="s">
        <v>213</v>
      </c>
    </row>
    <row r="58" spans="1:13" ht="15.75" thickBot="1" x14ac:dyDescent="0.3">
      <c r="A58" s="51"/>
      <c r="B58" s="49"/>
      <c r="C58" s="50" t="s">
        <v>135</v>
      </c>
      <c r="D58" s="50" t="s">
        <v>211</v>
      </c>
      <c r="E58" s="49"/>
      <c r="F58" s="49"/>
      <c r="G58" s="49"/>
      <c r="H58" s="73"/>
      <c r="I58" s="48"/>
      <c r="J58" s="50"/>
      <c r="K58" s="74"/>
      <c r="L58" s="75" t="s">
        <v>209</v>
      </c>
      <c r="M58" s="117"/>
    </row>
  </sheetData>
  <mergeCells count="31">
    <mergeCell ref="M13:M14"/>
    <mergeCell ref="M15:M16"/>
    <mergeCell ref="M17:M18"/>
    <mergeCell ref="A1:C1"/>
    <mergeCell ref="M1:M2"/>
    <mergeCell ref="M3:M4"/>
    <mergeCell ref="M5:M6"/>
    <mergeCell ref="M7:M8"/>
    <mergeCell ref="M55:M56"/>
    <mergeCell ref="M57:M58"/>
    <mergeCell ref="M39:M40"/>
    <mergeCell ref="M41:M42"/>
    <mergeCell ref="M43:M44"/>
    <mergeCell ref="M45:M46"/>
    <mergeCell ref="M47:M48"/>
    <mergeCell ref="N1:R2"/>
    <mergeCell ref="M29:M30"/>
    <mergeCell ref="M49:M50"/>
    <mergeCell ref="M51:M52"/>
    <mergeCell ref="M53:M54"/>
    <mergeCell ref="M27:M28"/>
    <mergeCell ref="M31:M32"/>
    <mergeCell ref="M33:M34"/>
    <mergeCell ref="M35:M36"/>
    <mergeCell ref="M37:M38"/>
    <mergeCell ref="M19:M20"/>
    <mergeCell ref="M21:M22"/>
    <mergeCell ref="M23:M24"/>
    <mergeCell ref="M25:M26"/>
    <mergeCell ref="M9:M10"/>
    <mergeCell ref="M11:M12"/>
  </mergeCells>
  <hyperlinks>
    <hyperlink ref="M57:M58" r:id="rId1" display="GNWR4086 3-23" xr:uid="{0D3C60EA-ECFD-47BE-9CE0-532594654D3E}"/>
    <hyperlink ref="M55:M56" r:id="rId2" display="GNWR4034 3-23" xr:uid="{9DBEB188-E717-407D-AB3F-225269E323EC}"/>
    <hyperlink ref="M53:M54" r:id="rId3" display="GNWR4087 3-20" xr:uid="{1D60061E-846D-43CD-9FE2-4B84A32F1F60}"/>
    <hyperlink ref="M51:M52" r:id="rId4" display="CSS30247 3-20" xr:uid="{0ECF2D2F-461F-44DB-B7E0-3C17D70B86BD}"/>
    <hyperlink ref="M49:M50" r:id="rId5" display="SMIX660648 3-16" xr:uid="{59398E4F-7EA0-424A-ADEF-028DE7129B9C}"/>
    <hyperlink ref="M47:M48" r:id="rId6" display="RMGX9109 3-12" xr:uid="{93D357C5-39C7-48AB-B304-AA5F2ED50730}"/>
    <hyperlink ref="M45:M46" r:id="rId7" display="GNWR4135 3-12" xr:uid="{DDBDEBAC-9A33-479A-8A87-A31EA9742C26}"/>
    <hyperlink ref="M43:M44" r:id="rId8" display="AEX26609 3-12" xr:uid="{7B26B4EE-C7C7-443F-99A1-BCDDA4435B6D}"/>
    <hyperlink ref="M41:M42" r:id="rId9" display="AEX26566 3-12" xr:uid="{74FF0BEF-5073-462C-A9A4-0CCE453BBB13}"/>
    <hyperlink ref="M39:M40" r:id="rId10" display="AEX19553 3-12" xr:uid="{AD50A2C3-0901-4A9B-8C5C-A65A12CFEC1A}"/>
    <hyperlink ref="M37:M38" r:id="rId11" display="Truck Scales\Railcar Photos\2026\03-2026\3-12\AEX19544 3-12.png" xr:uid="{96F86ECD-8049-4B1C-95FD-1B7235938465}"/>
    <hyperlink ref="M35:M36" r:id="rId12" display="ZVBX52230 3-10" xr:uid="{712B88A2-5552-4DF6-A6CE-0F0D20090156}"/>
    <hyperlink ref="M33:M34" r:id="rId13" display="SMIX660216 3-10" xr:uid="{A96E7ABB-F580-4ADB-9DA9-2096671B53DE}"/>
    <hyperlink ref="M31:M32" r:id="rId14" display="Truck Scales\Railcar Photos\2026\03-2026\3-10\GNWR4117 3-10.png" xr:uid="{9C88D72F-61B2-4A9D-ABC3-2748E343A35A}"/>
    <hyperlink ref="M27:M28" r:id="rId15" display="Truck Scales\Railcar Photos\2026\03-2026\3-10\CSXT483470 3-10.png" xr:uid="{06020BDA-51BB-415F-9DA2-A4C891A7373A}"/>
    <hyperlink ref="M29:M30" r:id="rId16" display="Truck Scales\Railcar Photos\2026\03-2026\3-10\GNWR4076 3-10.png" xr:uid="{59CFCFEA-E1B4-4C6B-A250-AD95F0BA7BFC}"/>
    <hyperlink ref="M25:M26" r:id="rId17" display="Truck Scales\Railcar Photos\2026\03-2026\3-10\CR581775 3-10.png" xr:uid="{4F8D2AD2-BE91-461E-8509-C20D50D5EE7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Consumption</vt:lpstr>
      <vt:lpstr>Depletions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2026-03-31T10:52:20Z</dcterms:modified>
</cp:coreProperties>
</file>