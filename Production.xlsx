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A63B2FC0-0004-402E-BF7D-3D308C634DE9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" i="2" l="1"/>
  <c r="E4" i="2"/>
</calcChain>
</file>

<file path=xl/sharedStrings.xml><?xml version="1.0" encoding="utf-8"?>
<sst xmlns="http://schemas.openxmlformats.org/spreadsheetml/2006/main" count="101" uniqueCount="66">
  <si>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</si>
  <si>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</si>
  <si>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</si>
  <si>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</si>
  <si>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</si>
  <si>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</si>
  <si>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</si>
  <si>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</si>
  <si>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</si>
  <si>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</si>
  <si>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</si>
  <si>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</si>
  <si>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</si>
  <si>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</si>
  <si>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</si>
  <si>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</si>
  <si>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</si>
  <si>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</si>
  <si>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</si>
  <si>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</si>
  <si>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</si>
  <si>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</si>
  <si>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</si>
  <si>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</si>
  <si>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</si>
  <si>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</si>
  <si>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</si>
  <si>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</si>
  <si>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</si>
  <si>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</si>
  <si>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S 430 Scrap</t>
  </si>
  <si>
    <t>CM3</t>
  </si>
  <si>
    <t>SA3</t>
  </si>
  <si>
    <t>AK TUBE LLC</t>
  </si>
  <si>
    <t>Kroot</t>
  </si>
  <si>
    <t>ARVIN SANGO INC</t>
  </si>
  <si>
    <t>TOTAL LBS</t>
  </si>
  <si>
    <t>TOTAL NET TONS</t>
  </si>
  <si>
    <t>OMNISOURCE CORPO</t>
  </si>
  <si>
    <t>Omnisource</t>
  </si>
  <si>
    <t>RG&gt;436Stainless</t>
  </si>
  <si>
    <t>RG&gt;181Stainless</t>
  </si>
  <si>
    <t>CLEVELAND CLIFFS</t>
  </si>
  <si>
    <t>S 181 Purchased Scrap</t>
  </si>
  <si>
    <t>JHL2</t>
  </si>
  <si>
    <t>YARD</t>
  </si>
  <si>
    <t>H144834</t>
  </si>
  <si>
    <t>40Y/602</t>
  </si>
  <si>
    <t>OMNX1432</t>
  </si>
  <si>
    <t>OMNX2373</t>
  </si>
  <si>
    <t>OMNX2475</t>
  </si>
  <si>
    <t>50Y/602</t>
  </si>
  <si>
    <t>CLVX804059</t>
  </si>
  <si>
    <t>OMNX102096</t>
  </si>
  <si>
    <t>OMNX2473</t>
  </si>
  <si>
    <t>Placeholder</t>
  </si>
  <si>
    <t>Material</t>
  </si>
  <si>
    <t>GNWR4063</t>
  </si>
  <si>
    <t>GNWR4085</t>
  </si>
  <si>
    <t>40R/947</t>
  </si>
  <si>
    <t>GONX340027</t>
  </si>
  <si>
    <t>RMGX9089</t>
  </si>
  <si>
    <t>60R/947</t>
  </si>
  <si>
    <t>ZVBX19057</t>
  </si>
  <si>
    <t>ZVBX20040</t>
  </si>
  <si>
    <t>000000/1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</si>
</sst>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1" fillId="0" borderId="0"/>
    <xf numFmtId="0" fontId="4" fillId="0" borderId="0"/>
    <xf numFmtId="0" fontId="6" fillId="0" borderId="0"/>
    <xf numFmtId="0" fontId="3" fillId="0" borderId="0"/>
    <xf numFmtId="0" fontId="2" fillId="0" borderId="0"/>
  </cellStyleXfs>
  <cellXfs count="30">
    <xf numFmtId="0" fontId="0" fillId="0" borderId="0" xfId="0"/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7" fillId="0" borderId="2" xfId="0" applyNumberFormat="1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7" fillId="0" borderId="5" xfId="0" applyFont="1" applyBorder="1"/>
    <xf numFmtId="0" fontId="5" fillId="0" borderId="5" xfId="0" applyFont="1" applyBorder="1"/>
    <xf numFmtId="0" fontId="12" fillId="0" borderId="5" xfId="0" applyFont="1" applyBorder="1" applyAlignment="1">
      <alignment vertical="center"/>
    </xf>
    <xf numFmtId="0" fontId="6" fillId="0" borderId="0" xfId="0" applyFont="1"/>
    <xf numFmtId="0" fontId="1" fillId="0" borderId="2" xfId="0" applyFont="1" applyBorder="1" applyAlignment="1">
      <alignment horizontal="center" vertical="center"/>
    </xf>
    <xf numFmtId="0" fontId="8" fillId="0" borderId="8" xfId="0" applyFont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6" xfId="0" applyFont="1" applyBorder="1" applyAlignment="1">
      <alignment horizontal="left"/>
    </xf>
    <xf numFmtId="0" fontId="9" fillId="0" borderId="5" xfId="0" applyFont="1" applyBorder="1" applyAlignment="1">
      <alignment horizontal="right" vertical="center"/>
    </xf>
    <xf numFmtId="0" fontId="10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1"/>
  <sheetViews>
    <sheetView workbookViewId="0">
      <selection activeCell="J5" sqref="J5"/>
    </sheetView>
  </sheetViews>
  <sheetFormatPr defaultRowHeight="15" x14ac:dyDescent="0.25"/>
  <cols>
    <col min="12" max="12" width="11.42578125" customWidth="1"/>
  </cols>
  <sheetData>
    <row r="1" spans="1:12" x14ac:dyDescent="0.25">
      <c r="A1" t="s">
        <v>65</v>
      </c>
      <c r="B1">
        <v>439114</v>
      </c>
      <c r="C1">
        <v>1</v>
      </c>
      <c r="D1">
        <v>15</v>
      </c>
      <c r="E1" t="s">
        <v>31</v>
      </c>
      <c r="F1" t="s">
        <v>32</v>
      </c>
      <c r="G1">
        <v>286</v>
      </c>
      <c r="H1">
        <v>10011414</v>
      </c>
      <c r="I1">
        <v>25000</v>
      </c>
      <c r="J1">
        <v>25050</v>
      </c>
      <c r="K1" s="6">
        <v>46266</v>
      </c>
      <c r="L1" s="7">
        <v>6.5231481481481488E-2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1"/>
  <sheetViews>
    <sheetView workbookViewId="0">
      <selection activeCell="F15" sqref="F15"/>
    </sheetView>
  </sheetViews>
  <sheetFormatPr defaultRowHeight="15" x14ac:dyDescent="0.25"/>
  <sheetData>
    <row r="1" spans="1:23" x14ac:dyDescent="0.25">
      <c r="A1" t="s">
        <v>44</v>
      </c>
      <c r="B1">
        <v>1679427</v>
      </c>
      <c r="E1" t="s">
        <v>45</v>
      </c>
      <c r="F1" t="s">
        <v>44</v>
      </c>
      <c r="G1" t="s">
        <v>46</v>
      </c>
      <c r="H1">
        <v>2257076</v>
      </c>
      <c r="I1">
        <v>10031006</v>
      </c>
      <c r="J1">
        <v>984</v>
      </c>
      <c r="M1">
        <v>24000000</v>
      </c>
      <c r="N1" s="6">
        <v>46266</v>
      </c>
      <c r="O1" s="7">
        <v>3.1296296296296294E-2</v>
      </c>
      <c r="P1">
        <v>353361</v>
      </c>
      <c r="Q1" s="6">
        <v>46266</v>
      </c>
      <c r="R1" s="7">
        <v>4.2175925925925929E-2</v>
      </c>
      <c r="S1">
        <v>353362</v>
      </c>
      <c r="T1">
        <v>0</v>
      </c>
      <c r="U1">
        <v>80300</v>
      </c>
      <c r="V1">
        <v>31660</v>
      </c>
      <c r="W1">
        <v>48640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"/>
  <sheetViews>
    <sheetView workbookViewId="0">
      <selection activeCell="D13" sqref="D13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46296</v>
      </c>
      <c r="B2">
        <v>0</v>
      </c>
      <c r="C2" s="23" t="s">
        <v>55</v>
      </c>
      <c r="D2" s="23" t="s">
        <v>55</v>
      </c>
      <c r="E2">
        <v>0</v>
      </c>
      <c r="F2">
        <v>0</v>
      </c>
      <c r="G2">
        <v>0</v>
      </c>
    </row>
    <row r="4" spans="1:7" x14ac:dyDescent="0.25">
      <c r="E4">
        <f>SUM(E2:E2)</f>
        <v>0</v>
      </c>
      <c r="G4">
        <f>SUM(G2:G2)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4"/>
  <sheetViews>
    <sheetView workbookViewId="0">
      <selection activeCell="E23" sqref="E2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46296</v>
      </c>
      <c r="B2" s="23" t="s">
        <v>56</v>
      </c>
      <c r="C2">
        <v>0</v>
      </c>
      <c r="D2">
        <v>0</v>
      </c>
      <c r="E2" s="23" t="s">
        <v>55</v>
      </c>
      <c r="F2" s="23" t="s">
        <v>55</v>
      </c>
    </row>
    <row r="3" spans="1:6" x14ac:dyDescent="0.25">
      <c r="B3" t="s">
        <v>36</v>
      </c>
      <c r="C3">
        <v>0</v>
      </c>
    </row>
    <row r="4" spans="1:6" x14ac:dyDescent="0.25">
      <c r="B4" t="s">
        <v>37</v>
      </c>
      <c r="D4">
        <v>0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6"/>
  <sheetViews>
    <sheetView tabSelected="1" zoomScaleNormal="100" workbookViewId="0">
      <selection activeCell="E31" sqref="E31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5" t="s">
        <v>25</v>
      </c>
      <c r="B1" s="26"/>
      <c r="C1" s="27"/>
      <c r="I1" s="28" t="s">
        <v>24</v>
      </c>
      <c r="J1" s="28"/>
      <c r="K1" s="28"/>
      <c r="L1" s="28"/>
      <c r="M1" s="29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29"/>
    </row>
    <row r="3" spans="1:13" x14ac:dyDescent="0.25">
      <c r="A3" s="8" t="s">
        <v>48</v>
      </c>
      <c r="B3" s="9">
        <v>1692221</v>
      </c>
      <c r="C3" s="10" t="s">
        <v>38</v>
      </c>
      <c r="D3" s="9">
        <v>10011509</v>
      </c>
      <c r="E3" s="10" t="s">
        <v>30</v>
      </c>
      <c r="F3" s="11">
        <v>279810</v>
      </c>
      <c r="G3" s="11">
        <v>81306</v>
      </c>
      <c r="H3" s="11">
        <v>198504</v>
      </c>
      <c r="I3" s="18">
        <v>274950</v>
      </c>
      <c r="J3" s="11"/>
      <c r="K3" s="14" t="s">
        <v>51</v>
      </c>
      <c r="L3" s="15"/>
    </row>
    <row r="4" spans="1:13" x14ac:dyDescent="0.25">
      <c r="A4" s="12"/>
      <c r="B4" s="13"/>
      <c r="C4" s="19" t="s">
        <v>39</v>
      </c>
      <c r="D4" s="13"/>
      <c r="E4" s="21" t="s">
        <v>41</v>
      </c>
      <c r="F4" s="13"/>
      <c r="G4" s="13"/>
      <c r="H4" s="13"/>
      <c r="I4" s="16"/>
      <c r="J4" s="13"/>
      <c r="K4" s="16"/>
      <c r="L4" s="17"/>
    </row>
    <row r="5" spans="1:13" x14ac:dyDescent="0.25">
      <c r="A5" s="8" t="s">
        <v>49</v>
      </c>
      <c r="B5" s="9">
        <v>1692202</v>
      </c>
      <c r="C5" s="10" t="s">
        <v>38</v>
      </c>
      <c r="D5" s="9">
        <v>10011503</v>
      </c>
      <c r="E5" s="10" t="s">
        <v>29</v>
      </c>
      <c r="F5" s="11">
        <v>237349</v>
      </c>
      <c r="G5" s="11">
        <v>72884</v>
      </c>
      <c r="H5" s="11">
        <v>164465</v>
      </c>
      <c r="I5" s="18">
        <v>235300</v>
      </c>
      <c r="J5" s="11"/>
      <c r="K5" s="14" t="s">
        <v>47</v>
      </c>
      <c r="L5" s="15"/>
    </row>
    <row r="6" spans="1:13" x14ac:dyDescent="0.25">
      <c r="A6" s="12"/>
      <c r="B6" s="13"/>
      <c r="C6" s="19" t="s">
        <v>39</v>
      </c>
      <c r="D6" s="13"/>
      <c r="E6" s="21" t="s">
        <v>41</v>
      </c>
      <c r="F6" s="13"/>
      <c r="G6" s="13"/>
      <c r="H6" s="13"/>
      <c r="I6" s="16"/>
      <c r="J6" s="13"/>
      <c r="K6" s="16"/>
      <c r="L6" s="17"/>
    </row>
    <row r="7" spans="1:13" x14ac:dyDescent="0.25">
      <c r="A7" s="8" t="s">
        <v>50</v>
      </c>
      <c r="B7" s="9">
        <v>1699707</v>
      </c>
      <c r="C7" s="10" t="s">
        <v>38</v>
      </c>
      <c r="D7" s="9">
        <v>10011509</v>
      </c>
      <c r="E7" s="10" t="s">
        <v>30</v>
      </c>
      <c r="F7" s="11">
        <v>224400</v>
      </c>
      <c r="G7" s="11">
        <v>68850</v>
      </c>
      <c r="H7" s="11">
        <v>155550</v>
      </c>
      <c r="I7" s="18">
        <v>232700</v>
      </c>
      <c r="J7" s="11"/>
      <c r="K7" s="24">
        <v>505</v>
      </c>
      <c r="L7" s="15"/>
    </row>
    <row r="8" spans="1:13" x14ac:dyDescent="0.25">
      <c r="A8" s="12"/>
      <c r="B8" s="13"/>
      <c r="C8" s="19" t="s">
        <v>39</v>
      </c>
      <c r="D8" s="13"/>
      <c r="E8" s="13"/>
      <c r="F8" s="13"/>
      <c r="G8" s="13"/>
      <c r="H8" s="13"/>
      <c r="I8" s="16"/>
      <c r="J8" s="13"/>
      <c r="K8" s="16"/>
      <c r="L8" s="17"/>
    </row>
    <row r="9" spans="1:13" x14ac:dyDescent="0.25">
      <c r="A9" s="8" t="s">
        <v>52</v>
      </c>
      <c r="B9" s="9">
        <v>1326015</v>
      </c>
      <c r="C9" s="10" t="s">
        <v>42</v>
      </c>
      <c r="D9" s="9">
        <v>10011558</v>
      </c>
      <c r="E9" s="10" t="s">
        <v>43</v>
      </c>
      <c r="F9" s="11">
        <v>271400</v>
      </c>
      <c r="G9" s="11">
        <v>72500</v>
      </c>
      <c r="H9" s="11">
        <v>198900</v>
      </c>
      <c r="I9" s="18">
        <v>273200</v>
      </c>
      <c r="J9" s="11"/>
      <c r="K9" s="14">
        <v>602</v>
      </c>
      <c r="L9" s="15"/>
    </row>
    <row r="10" spans="1:13" x14ac:dyDescent="0.25">
      <c r="A10" s="12"/>
      <c r="B10" s="13"/>
      <c r="C10" s="22" t="s">
        <v>26</v>
      </c>
      <c r="D10" s="13"/>
      <c r="E10" s="13"/>
      <c r="F10" s="13"/>
      <c r="G10" s="13"/>
      <c r="H10" s="13"/>
      <c r="I10" s="16"/>
      <c r="J10" s="13"/>
      <c r="K10" s="16"/>
      <c r="L10" s="17"/>
    </row>
    <row r="11" spans="1:13" x14ac:dyDescent="0.25">
      <c r="A11" s="8" t="s">
        <v>53</v>
      </c>
      <c r="B11" s="9">
        <v>1692221</v>
      </c>
      <c r="C11" s="10" t="s">
        <v>38</v>
      </c>
      <c r="D11" s="9">
        <v>10011509</v>
      </c>
      <c r="E11" s="10" t="s">
        <v>30</v>
      </c>
      <c r="F11" s="11">
        <v>278532</v>
      </c>
      <c r="G11" s="11">
        <v>77735</v>
      </c>
      <c r="H11" s="11">
        <v>200797</v>
      </c>
      <c r="I11" s="18">
        <v>275150</v>
      </c>
      <c r="J11" s="11"/>
      <c r="K11" s="14" t="s">
        <v>51</v>
      </c>
      <c r="L11" s="15"/>
    </row>
    <row r="12" spans="1:13" x14ac:dyDescent="0.25">
      <c r="A12" s="12"/>
      <c r="B12" s="13"/>
      <c r="C12" s="22" t="s">
        <v>39</v>
      </c>
      <c r="D12" s="13"/>
      <c r="E12" s="20" t="s">
        <v>41</v>
      </c>
      <c r="F12" s="13"/>
      <c r="G12" s="13"/>
      <c r="H12" s="13"/>
      <c r="I12" s="16"/>
      <c r="J12" s="13"/>
      <c r="K12" s="16"/>
      <c r="L12" s="17"/>
    </row>
    <row r="13" spans="1:13" x14ac:dyDescent="0.25">
      <c r="A13" s="8" t="s">
        <v>54</v>
      </c>
      <c r="B13" s="9">
        <v>1692225</v>
      </c>
      <c r="C13" s="10" t="s">
        <v>38</v>
      </c>
      <c r="D13" s="9">
        <v>10011509</v>
      </c>
      <c r="E13" s="10" t="s">
        <v>30</v>
      </c>
      <c r="F13" s="11">
        <v>237482</v>
      </c>
      <c r="G13" s="11">
        <v>70548</v>
      </c>
      <c r="H13" s="11">
        <v>166934</v>
      </c>
      <c r="I13" s="18">
        <v>237450</v>
      </c>
      <c r="J13" s="11"/>
      <c r="K13" s="14" t="s">
        <v>51</v>
      </c>
      <c r="L13" s="15"/>
    </row>
    <row r="14" spans="1:13" x14ac:dyDescent="0.25">
      <c r="A14" s="12"/>
      <c r="B14" s="13"/>
      <c r="C14" s="22" t="s">
        <v>39</v>
      </c>
      <c r="D14" s="13"/>
      <c r="E14" s="20" t="s">
        <v>41</v>
      </c>
      <c r="F14" s="13"/>
      <c r="G14" s="13"/>
      <c r="H14" s="13"/>
      <c r="I14" s="16"/>
      <c r="J14" s="13"/>
      <c r="K14" s="16"/>
      <c r="L14" s="17"/>
    </row>
    <row r="15" spans="1:13" x14ac:dyDescent="0.25">
      <c r="A15" s="8" t="s">
        <v>57</v>
      </c>
      <c r="B15" s="9">
        <v>1390356</v>
      </c>
      <c r="C15" s="10" t="s">
        <v>35</v>
      </c>
      <c r="D15" s="9">
        <v>10011509</v>
      </c>
      <c r="E15" s="10" t="s">
        <v>30</v>
      </c>
      <c r="F15" s="11">
        <v>259300</v>
      </c>
      <c r="G15" s="11">
        <v>60140</v>
      </c>
      <c r="H15" s="11">
        <v>199160</v>
      </c>
      <c r="I15" s="18">
        <v>258700</v>
      </c>
      <c r="J15" s="11"/>
      <c r="K15" s="14">
        <v>505</v>
      </c>
      <c r="L15" s="15"/>
    </row>
    <row r="16" spans="1:13" x14ac:dyDescent="0.25">
      <c r="A16" s="12"/>
      <c r="B16" s="13"/>
      <c r="C16" s="19" t="s">
        <v>34</v>
      </c>
      <c r="D16" s="13"/>
      <c r="E16" s="13"/>
      <c r="F16" s="13"/>
      <c r="G16" s="13"/>
      <c r="H16" s="13"/>
      <c r="I16" s="16"/>
      <c r="J16" s="13"/>
      <c r="K16" s="16"/>
      <c r="L16" s="17"/>
    </row>
    <row r="17" spans="1:12" x14ac:dyDescent="0.25">
      <c r="A17" s="8" t="s">
        <v>58</v>
      </c>
      <c r="B17" s="9">
        <v>1442707</v>
      </c>
      <c r="C17" s="10" t="s">
        <v>33</v>
      </c>
      <c r="D17" s="9">
        <v>10011503</v>
      </c>
      <c r="E17" s="10" t="s">
        <v>29</v>
      </c>
      <c r="F17" s="11">
        <v>233000</v>
      </c>
      <c r="G17" s="11">
        <v>60500</v>
      </c>
      <c r="H17" s="11">
        <v>172500</v>
      </c>
      <c r="I17" s="18">
        <v>232150</v>
      </c>
      <c r="J17" s="11"/>
      <c r="K17" s="14" t="s">
        <v>59</v>
      </c>
      <c r="L17" s="15"/>
    </row>
    <row r="18" spans="1:12" x14ac:dyDescent="0.25">
      <c r="A18" s="12"/>
      <c r="B18" s="13"/>
      <c r="C18" s="19" t="s">
        <v>34</v>
      </c>
      <c r="D18" s="13"/>
      <c r="E18" s="20" t="s">
        <v>40</v>
      </c>
      <c r="F18" s="13"/>
      <c r="G18" s="13"/>
      <c r="H18" s="13"/>
      <c r="I18" s="16"/>
      <c r="J18" s="13"/>
      <c r="K18" s="16"/>
      <c r="L18" s="17"/>
    </row>
    <row r="19" spans="1:12" x14ac:dyDescent="0.25">
      <c r="A19" s="8" t="s">
        <v>60</v>
      </c>
      <c r="B19" s="9">
        <v>1326018</v>
      </c>
      <c r="C19" s="10" t="s">
        <v>42</v>
      </c>
      <c r="D19" s="9">
        <v>10011503</v>
      </c>
      <c r="E19" s="10" t="s">
        <v>29</v>
      </c>
      <c r="F19" s="11">
        <v>258400</v>
      </c>
      <c r="G19" s="11">
        <v>71000</v>
      </c>
      <c r="H19" s="11">
        <v>187400</v>
      </c>
      <c r="I19" s="18">
        <v>258950</v>
      </c>
      <c r="J19" s="11"/>
      <c r="K19" s="14">
        <v>405</v>
      </c>
      <c r="L19" s="15"/>
    </row>
    <row r="20" spans="1:12" x14ac:dyDescent="0.25">
      <c r="A20" s="12"/>
      <c r="B20" s="13"/>
      <c r="C20" s="19" t="s">
        <v>26</v>
      </c>
      <c r="D20" s="13"/>
      <c r="E20" s="13"/>
      <c r="F20" s="13"/>
      <c r="G20" s="13"/>
      <c r="H20" s="13"/>
      <c r="I20" s="16"/>
      <c r="J20" s="13"/>
      <c r="K20" s="16"/>
      <c r="L20" s="17"/>
    </row>
    <row r="21" spans="1:12" x14ac:dyDescent="0.25">
      <c r="A21" s="8" t="s">
        <v>61</v>
      </c>
      <c r="B21" s="9">
        <v>1326015</v>
      </c>
      <c r="C21" s="10" t="s">
        <v>42</v>
      </c>
      <c r="D21" s="9">
        <v>10011558</v>
      </c>
      <c r="E21" s="10" t="s">
        <v>43</v>
      </c>
      <c r="F21" s="11">
        <v>253200</v>
      </c>
      <c r="G21" s="11">
        <v>64400</v>
      </c>
      <c r="H21" s="11">
        <v>188800</v>
      </c>
      <c r="I21" s="18">
        <v>253400</v>
      </c>
      <c r="J21" s="11"/>
      <c r="K21" s="14" t="s">
        <v>62</v>
      </c>
      <c r="L21" s="15"/>
    </row>
    <row r="22" spans="1:12" x14ac:dyDescent="0.25">
      <c r="A22" s="12"/>
      <c r="B22" s="13"/>
      <c r="C22" s="19" t="s">
        <v>26</v>
      </c>
      <c r="D22" s="13"/>
      <c r="E22" s="20" t="s">
        <v>40</v>
      </c>
      <c r="F22" s="13"/>
      <c r="G22" s="13"/>
      <c r="H22" s="13"/>
      <c r="I22" s="16"/>
      <c r="J22" s="13"/>
      <c r="K22" s="16"/>
      <c r="L22" s="17"/>
    </row>
    <row r="23" spans="1:12" x14ac:dyDescent="0.25">
      <c r="A23" s="8" t="s">
        <v>63</v>
      </c>
      <c r="B23" s="9">
        <v>1701738</v>
      </c>
      <c r="C23" s="10" t="s">
        <v>28</v>
      </c>
      <c r="D23" s="9">
        <v>10011503</v>
      </c>
      <c r="E23" s="10" t="s">
        <v>29</v>
      </c>
      <c r="F23" s="11">
        <v>283410</v>
      </c>
      <c r="G23" s="11">
        <v>74540</v>
      </c>
      <c r="H23" s="11">
        <v>208870</v>
      </c>
      <c r="I23" s="18">
        <v>284500</v>
      </c>
      <c r="J23" s="11"/>
      <c r="K23" s="14">
        <v>405</v>
      </c>
      <c r="L23" s="15"/>
    </row>
    <row r="24" spans="1:12" x14ac:dyDescent="0.25">
      <c r="A24" s="12"/>
      <c r="B24" s="13"/>
      <c r="C24" s="19" t="s">
        <v>27</v>
      </c>
      <c r="D24" s="13"/>
      <c r="E24" s="13"/>
      <c r="F24" s="13"/>
      <c r="G24" s="13"/>
      <c r="H24" s="13"/>
      <c r="I24" s="16"/>
      <c r="J24" s="13"/>
      <c r="K24" s="16"/>
      <c r="L24" s="17"/>
    </row>
    <row r="25" spans="1:12" x14ac:dyDescent="0.25">
      <c r="A25" s="8" t="s">
        <v>64</v>
      </c>
      <c r="B25" s="9">
        <v>1701738</v>
      </c>
      <c r="C25" s="10" t="s">
        <v>28</v>
      </c>
      <c r="D25" s="9">
        <v>10011503</v>
      </c>
      <c r="E25" s="10" t="s">
        <v>29</v>
      </c>
      <c r="F25" s="11">
        <v>281170</v>
      </c>
      <c r="G25" s="11">
        <v>80250</v>
      </c>
      <c r="H25" s="11">
        <v>200920</v>
      </c>
      <c r="I25" s="18">
        <v>282850</v>
      </c>
      <c r="J25" s="11"/>
      <c r="K25" s="14">
        <v>405</v>
      </c>
      <c r="L25" s="15"/>
    </row>
    <row r="26" spans="1:12" x14ac:dyDescent="0.25">
      <c r="A26" s="12"/>
      <c r="B26" s="13"/>
      <c r="C26" s="19" t="s">
        <v>27</v>
      </c>
      <c r="D26" s="13"/>
      <c r="E26" s="13"/>
      <c r="F26" s="13"/>
      <c r="G26" s="13"/>
      <c r="H26" s="13"/>
      <c r="I26" s="16"/>
      <c r="J26" s="13"/>
      <c r="K26" s="16"/>
      <c r="L26" s="17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2026-10-01T11:17:22Z</dcterms:modified>
</cp:coreProperties>
</file>