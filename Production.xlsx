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3656902C-23EE-4A82-B68F-345DA573A6CC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" l="1"/>
  <c r="E3" i="2"/>
</calcChain>
</file>

<file path=xl/sharedStrings.xml><?xml version="1.0" encoding="utf-8"?>
<sst xmlns="http://schemas.openxmlformats.org/spreadsheetml/2006/main" count="167" uniqueCount="125">
  <si>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</si>
  <si>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</si>
  <si>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</si>
  <si>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</si>
  <si>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</si>
  <si>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</si>
  <si>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</si>
  <si>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</si>
  <si>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</si>
  <si>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</si>
  <si>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</si>
  <si>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</si>
  <si>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</si>
  <si>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</si>
  <si>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</si>
  <si>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</si>
  <si>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</si>
  <si>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</si>
  <si>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</si>
  <si>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</si>
  <si>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</si>
  <si>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</si>
  <si>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</si>
  <si>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</si>
  <si>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</si>
  <si>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</si>
  <si>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</si>
  <si>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</si>
  <si>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</si>
  <si>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</si>
  <si>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</si>
  <si>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</si>
  <si>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</si>
  <si>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</si>
  <si>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</si>
  <si>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</si>
  <si>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</si>
  <si>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</si>
  <si>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</si>
  <si>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</si>
  <si>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</si>
  <si>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</si>
  <si>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</si>
  <si>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</si>
  <si>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</si>
  <si>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</si>
  <si>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</si>
  <si>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</si>
  <si>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</si>
  <si>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</si>
  <si>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</si>
  <si>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</si>
  <si>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</si>
  <si>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</si>
  <si>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</si>
  <si>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</si>
  <si>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</si>
  <si>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</si>
  <si>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</si>
  <si>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</si>
  <si>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</si>
  <si>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</si>
  <si>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</si>
  <si>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</si>
  <si>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</si>
  <si>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</si>
  <si>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</si>
  <si>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</si>
  <si>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</si>
  <si>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</si>
  <si>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</si>
  <si>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</si>
  <si>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</si>
  <si>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</si>
  <si>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</si>
  <si>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</si>
  <si>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</si>
  <si>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</si>
  <si>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</si>
  <si>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</si>
  <si>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</si>
  <si>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</si>
  <si>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</si>
  <si>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</si>
  <si>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</si>
  <si>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</si>
  <si>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</si>
  <si>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</si>
  <si>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</si>
  <si>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</si>
  <si>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</si>
  <si>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</si>
  <si>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</si>
  <si>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</si>
  <si>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</si>
  <si>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</si>
  <si>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</si>
  <si>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</si>
  <si>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</si>
  <si>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</si>
  <si>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</si>
  <si>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</si>
  <si>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</si>
  <si>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</si>
  <si>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</si>
  <si>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</si>
  <si>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</si>
  <si>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ASNs Arrived Master Report April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</si>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</sst>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3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4" fillId="0" borderId="0" xfId="0" applyFont="1"/>
    <xf numFmtId="0" fontId="4" fillId="0" borderId="0" xfId="3"/>
    <xf numFmtId="0" fontId="1" fillId="0" borderId="0" xfId="4"/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6" fillId="0" borderId="13" xfId="0" applyFont="1" applyBorder="1" applyAlignment="1">
      <alignment horizontal="left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7" fillId="0" borderId="9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15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0" xfId="0" applyBorder="1" applyAlignment="1">
      <alignment horizontal="center"/>
    </xf>
    <xf numFmtId="0" fontId="0" fillId="0" borderId="16" xfId="0" applyBorder="1" applyAlignment="1">
      <alignment horizontal="left"/>
    </xf>
    <xf numFmtId="0" fontId="0" fillId="0" borderId="9" xfId="0" applyBorder="1" applyAlignment="1">
      <alignment horizontal="left"/>
    </xf>
    <xf numFmtId="0" fontId="5" fillId="0" borderId="9" xfId="0" applyFont="1" applyBorder="1" applyAlignment="1">
      <alignment horizontal="left"/>
    </xf>
    <xf numFmtId="0" fontId="0" fillId="0" borderId="9" xfId="0" applyBorder="1" applyAlignment="1">
      <alignment horizontal="center"/>
    </xf>
    <xf numFmtId="16" fontId="4" fillId="0" borderId="0" xfId="3" applyNumberFormat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"/>
  <sheetViews>
    <sheetView workbookViewId="0">
      <selection activeCell="A2" sqref="A2"/>
    </sheetView>
  </sheetViews>
  <sheetFormatPr defaultRowHeight="15" x14ac:dyDescent="0.25"/>
  <cols>
    <col min="1" max="1" width="10.5703125" style="14" customWidth="1"/>
    <col min="2" max="2" width="9.28515625" style="14" bestFit="1" customWidth="1"/>
    <col min="3" max="3" width="10.5703125" style="14" bestFit="1" customWidth="1"/>
    <col min="4" max="4" width="15.42578125" style="14" bestFit="1" customWidth="1"/>
    <col min="5" max="5" width="13.5703125" style="14" bestFit="1" customWidth="1"/>
    <col min="6" max="16384" width="9.140625" style="14"/>
  </cols>
  <sheetData>
    <row r="1" spans="1:5" x14ac:dyDescent="0.25">
      <c r="A1" s="14" t="s">
        <v>47</v>
      </c>
      <c r="B1" s="14" t="s">
        <v>89</v>
      </c>
      <c r="C1" s="14" t="s">
        <v>88</v>
      </c>
      <c r="D1" s="14" t="s">
        <v>91</v>
      </c>
      <c r="E1" s="14" t="s">
        <v>90</v>
      </c>
    </row>
    <row r="2" spans="1:5" x14ac:dyDescent="0.25">
      <c r="A2" s="32">
        <v>46143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"/>
  <sheetViews>
    <sheetView workbookViewId="0">
      <selection activeCell="A2" sqref="A2"/>
    </sheetView>
  </sheetViews>
  <sheetFormatPr defaultRowHeight="15" x14ac:dyDescent="0.25"/>
  <cols>
    <col min="1" max="16384" width="9.140625" style="14"/>
  </cols>
  <sheetData>
    <row r="1" spans="1:5" x14ac:dyDescent="0.25">
      <c r="A1" s="14" t="s">
        <v>47</v>
      </c>
      <c r="B1" s="14" t="s">
        <v>93</v>
      </c>
      <c r="C1" s="14" t="s">
        <v>92</v>
      </c>
      <c r="D1" s="14" t="s">
        <v>89</v>
      </c>
      <c r="E1" s="14" t="s">
        <v>88</v>
      </c>
    </row>
    <row r="2" spans="1:5" x14ac:dyDescent="0.25">
      <c r="A2" s="32">
        <v>46143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1"/>
  <sheetViews>
    <sheetView workbookViewId="0">
      <selection activeCell="I7" sqref="I7"/>
    </sheetView>
  </sheetViews>
  <sheetFormatPr defaultRowHeight="15" x14ac:dyDescent="0.25"/>
  <cols>
    <col min="1" max="16384" width="9.140625" style="14"/>
  </cols>
  <sheetData>
    <row r="1" spans="1:4" x14ac:dyDescent="0.25">
      <c r="A1" s="14" t="s">
        <v>93</v>
      </c>
      <c r="B1" s="14" t="s">
        <v>92</v>
      </c>
      <c r="C1" s="14" t="s">
        <v>89</v>
      </c>
      <c r="D1" s="14" t="s">
        <v>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G2"/>
  <sheetViews>
    <sheetView tabSelected="1" workbookViewId="0">
      <selection activeCell="D8" sqref="D8"/>
    </sheetView>
  </sheetViews>
  <sheetFormatPr defaultRowHeight="15" x14ac:dyDescent="0.25"/>
  <cols>
    <col min="1" max="16384" width="9.140625" style="14"/>
  </cols>
  <sheetData>
    <row r="1" spans="1:7" x14ac:dyDescent="0.25">
      <c r="A1" s="14" t="s">
        <v>47</v>
      </c>
      <c r="B1" s="14" t="s">
        <v>98</v>
      </c>
      <c r="C1" s="14" t="s">
        <v>97</v>
      </c>
      <c r="D1" s="14" t="s">
        <v>93</v>
      </c>
      <c r="E1" s="14" t="s">
        <v>92</v>
      </c>
      <c r="F1" s="14" t="s">
        <v>89</v>
      </c>
      <c r="G1" s="14" t="s">
        <v>88</v>
      </c>
    </row>
    <row r="2" spans="1:7" x14ac:dyDescent="0.25">
      <c r="A2" s="32">
        <v>46143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"/>
  <sheetViews>
    <sheetView workbookViewId="0">
      <selection activeCell="A2" sqref="A2:XFD1048576"/>
    </sheetView>
  </sheetViews>
  <sheetFormatPr defaultRowHeight="15" x14ac:dyDescent="0.25"/>
  <cols>
    <col min="1" max="16384" width="9.140625" style="15"/>
  </cols>
  <sheetData>
    <row r="1" spans="1:3" x14ac:dyDescent="0.25">
      <c r="A1" s="14" t="s">
        <v>47</v>
      </c>
      <c r="B1" s="14" t="s">
        <v>100</v>
      </c>
      <c r="C1" s="14" t="s">
        <v>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"/>
  <sheetViews>
    <sheetView workbookViewId="0">
      <selection activeCell="A2" sqref="A2:XFD1048576"/>
    </sheetView>
  </sheetViews>
  <sheetFormatPr defaultRowHeight="15" x14ac:dyDescent="0.25"/>
  <cols>
    <col min="1" max="16384" width="9.140625" style="15"/>
  </cols>
  <sheetData>
    <row r="1" spans="1:4" x14ac:dyDescent="0.25">
      <c r="A1" s="14" t="s">
        <v>47</v>
      </c>
      <c r="B1" s="14" t="s">
        <v>103</v>
      </c>
      <c r="C1" s="14" t="s">
        <v>102</v>
      </c>
      <c r="D1" s="14" t="s">
        <v>101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"/>
  <sheetViews>
    <sheetView workbookViewId="0">
      <selection activeCell="D20" sqref="D20"/>
    </sheetView>
  </sheetViews>
  <sheetFormatPr defaultRowHeight="15" x14ac:dyDescent="0.25"/>
  <cols>
    <col min="1" max="16384" width="9.140625" style="14"/>
  </cols>
  <sheetData>
    <row r="1" spans="1:9" x14ac:dyDescent="0.25">
      <c r="A1" s="14" t="s">
        <v>106</v>
      </c>
      <c r="B1" s="14" t="s">
        <v>105</v>
      </c>
      <c r="C1" s="14" t="s">
        <v>104</v>
      </c>
      <c r="D1" s="14" t="s">
        <v>47</v>
      </c>
      <c r="E1" s="14" t="s">
        <v>102</v>
      </c>
      <c r="F1" s="14" t="s">
        <v>108</v>
      </c>
      <c r="G1" s="14" t="s">
        <v>109</v>
      </c>
      <c r="H1" s="14" t="s">
        <v>110</v>
      </c>
      <c r="I1" s="14" t="s">
        <v>111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3"/>
  <sheetViews>
    <sheetView workbookViewId="0">
      <selection activeCell="I15" sqref="I15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/>
      <c r="B2"/>
      <c r="C2"/>
      <c r="D2"/>
      <c r="E2"/>
      <c r="F2"/>
      <c r="G2"/>
    </row>
    <row r="3" spans="1:7" x14ac:dyDescent="0.25">
      <c r="A3"/>
      <c r="B3"/>
      <c r="C3"/>
      <c r="D3"/>
      <c r="E3" t="e">
        <f>SUM(#REF!)</f>
        <v>#REF!</v>
      </c>
      <c r="F3"/>
      <c r="G3" t="e">
        <f>SUM(#REF!)</f>
        <v>#REF!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2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N22"/>
  <sheetViews>
    <sheetView workbookViewId="0">
      <selection activeCell="O23" sqref="O23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</cols>
  <sheetData>
    <row r="1" spans="1:14" x14ac:dyDescent="0.25">
      <c r="A1" s="16" t="s">
        <v>10</v>
      </c>
      <c r="B1" s="17"/>
      <c r="D1" s="16" t="s">
        <v>11</v>
      </c>
      <c r="E1" s="17"/>
      <c r="G1" s="18" t="s">
        <v>43</v>
      </c>
      <c r="H1" s="17"/>
      <c r="J1" s="16" t="s">
        <v>66</v>
      </c>
      <c r="K1" s="17"/>
      <c r="M1" s="19" t="s">
        <v>117</v>
      </c>
      <c r="N1" s="19"/>
    </row>
    <row r="2" spans="1:14" x14ac:dyDescent="0.25">
      <c r="A2" s="2">
        <v>443</v>
      </c>
      <c r="B2" s="2" t="s">
        <v>31</v>
      </c>
      <c r="D2" s="2">
        <v>943</v>
      </c>
      <c r="E2" s="2" t="s">
        <v>4</v>
      </c>
      <c r="G2" s="11">
        <v>154</v>
      </c>
      <c r="H2" s="2" t="s">
        <v>42</v>
      </c>
      <c r="J2" s="2">
        <v>613</v>
      </c>
      <c r="K2" s="5" t="s">
        <v>45</v>
      </c>
      <c r="M2">
        <v>770</v>
      </c>
      <c r="N2" t="s">
        <v>113</v>
      </c>
    </row>
    <row r="3" spans="1:14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>
        <v>761</v>
      </c>
      <c r="N3" t="s">
        <v>112</v>
      </c>
    </row>
    <row r="4" spans="1:14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>
        <v>144</v>
      </c>
      <c r="N4" t="s">
        <v>114</v>
      </c>
    </row>
    <row r="5" spans="1:14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>
        <v>944</v>
      </c>
      <c r="N5" t="s">
        <v>115</v>
      </c>
    </row>
    <row r="6" spans="1:14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>
        <v>504</v>
      </c>
      <c r="N6" t="s">
        <v>116</v>
      </c>
    </row>
    <row r="7" spans="1:14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>
        <v>506</v>
      </c>
      <c r="N7" t="s">
        <v>116</v>
      </c>
    </row>
    <row r="8" spans="1:14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>
        <v>903</v>
      </c>
      <c r="N8" s="13" t="s">
        <v>56</v>
      </c>
    </row>
    <row r="9" spans="1:14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>
        <v>484</v>
      </c>
      <c r="N9" s="13" t="s">
        <v>118</v>
      </c>
    </row>
    <row r="10" spans="1:14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</row>
    <row r="11" spans="1:14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4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4" x14ac:dyDescent="0.25">
      <c r="A13" s="2">
        <v>233</v>
      </c>
      <c r="B13" s="2" t="s">
        <v>22</v>
      </c>
    </row>
    <row r="14" spans="1:14" x14ac:dyDescent="0.25">
      <c r="A14" s="2">
        <v>383</v>
      </c>
      <c r="B14" s="2" t="s">
        <v>23</v>
      </c>
    </row>
    <row r="15" spans="1:14" x14ac:dyDescent="0.25">
      <c r="A15" s="2" t="s">
        <v>26</v>
      </c>
      <c r="B15" s="3" t="s">
        <v>34</v>
      </c>
    </row>
    <row r="16" spans="1:14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5"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2"/>
  <sheetViews>
    <sheetView workbookViewId="0">
      <selection activeCell="J28" sqref="J28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0" t="s">
        <v>107</v>
      </c>
      <c r="B1" s="21"/>
      <c r="C1" s="22"/>
      <c r="I1" s="23" t="s">
        <v>96</v>
      </c>
      <c r="J1" s="23"/>
      <c r="K1" s="23"/>
      <c r="L1" s="23"/>
      <c r="M1" s="24">
        <v>5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24"/>
    </row>
    <row r="3" spans="1:13" x14ac:dyDescent="0.25">
      <c r="A3" s="25" t="s">
        <v>119</v>
      </c>
      <c r="B3" s="26">
        <v>1490611</v>
      </c>
      <c r="C3" s="26" t="s">
        <v>95</v>
      </c>
      <c r="D3" s="26">
        <v>10011660</v>
      </c>
      <c r="E3" s="26" t="s">
        <v>74</v>
      </c>
      <c r="F3" s="27">
        <v>280900</v>
      </c>
      <c r="G3" s="27">
        <v>79300</v>
      </c>
      <c r="H3" s="27">
        <v>201600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</row>
    <row r="5" spans="1:13" x14ac:dyDescent="0.25">
      <c r="A5" s="25" t="s">
        <v>120</v>
      </c>
      <c r="B5" s="26">
        <v>1437779</v>
      </c>
      <c r="C5" s="26" t="s">
        <v>75</v>
      </c>
      <c r="D5" s="26">
        <v>10011660</v>
      </c>
      <c r="E5" s="26" t="s">
        <v>74</v>
      </c>
      <c r="F5" s="27">
        <v>285100</v>
      </c>
      <c r="G5" s="27">
        <v>71200</v>
      </c>
      <c r="H5" s="27">
        <v>213900</v>
      </c>
    </row>
    <row r="6" spans="1:13" x14ac:dyDescent="0.25">
      <c r="A6" s="28"/>
      <c r="B6" s="29"/>
      <c r="C6" s="30" t="s">
        <v>94</v>
      </c>
      <c r="D6" s="29"/>
      <c r="E6" s="29"/>
      <c r="F6" s="31"/>
      <c r="G6" s="31"/>
      <c r="H6" s="31"/>
    </row>
    <row r="7" spans="1:13" x14ac:dyDescent="0.25">
      <c r="A7" s="25" t="s">
        <v>121</v>
      </c>
      <c r="B7" s="26">
        <v>1659012</v>
      </c>
      <c r="C7" s="26" t="s">
        <v>75</v>
      </c>
      <c r="D7" s="26">
        <v>10011660</v>
      </c>
      <c r="E7" s="26" t="s">
        <v>74</v>
      </c>
      <c r="F7" s="27">
        <v>281500</v>
      </c>
      <c r="G7" s="27">
        <v>67000</v>
      </c>
      <c r="H7" s="27">
        <v>214500</v>
      </c>
    </row>
    <row r="8" spans="1:13" x14ac:dyDescent="0.25">
      <c r="A8" s="28"/>
      <c r="B8" s="29"/>
      <c r="C8" s="30" t="s">
        <v>94</v>
      </c>
      <c r="D8" s="29"/>
      <c r="E8" s="29"/>
      <c r="F8" s="31"/>
      <c r="G8" s="31"/>
      <c r="H8" s="31"/>
    </row>
    <row r="9" spans="1:13" x14ac:dyDescent="0.25">
      <c r="A9" s="25" t="s">
        <v>122</v>
      </c>
      <c r="B9" s="26">
        <v>1659012</v>
      </c>
      <c r="C9" s="26" t="s">
        <v>75</v>
      </c>
      <c r="D9" s="26">
        <v>10011660</v>
      </c>
      <c r="E9" s="26" t="s">
        <v>74</v>
      </c>
      <c r="F9" s="27">
        <v>283050</v>
      </c>
      <c r="G9" s="27">
        <v>68650</v>
      </c>
      <c r="H9" s="27">
        <v>214400</v>
      </c>
    </row>
    <row r="10" spans="1:13" x14ac:dyDescent="0.25">
      <c r="A10" s="28"/>
      <c r="B10" s="29"/>
      <c r="C10" s="30" t="s">
        <v>94</v>
      </c>
      <c r="D10" s="29"/>
      <c r="E10" s="29"/>
      <c r="F10" s="31"/>
      <c r="G10" s="31"/>
      <c r="H10" s="31"/>
    </row>
    <row r="11" spans="1:13" x14ac:dyDescent="0.25">
      <c r="A11" s="25" t="s">
        <v>123</v>
      </c>
      <c r="B11" s="26">
        <v>1442707</v>
      </c>
      <c r="C11" s="26" t="s">
        <v>73</v>
      </c>
      <c r="D11" s="26">
        <v>10011503</v>
      </c>
      <c r="E11" s="26" t="s">
        <v>72</v>
      </c>
      <c r="F11" s="27">
        <v>258100</v>
      </c>
      <c r="G11" s="27">
        <v>59800</v>
      </c>
      <c r="H11" s="27">
        <v>198300</v>
      </c>
    </row>
    <row r="12" spans="1:13" x14ac:dyDescent="0.25">
      <c r="A12" s="28"/>
      <c r="B12" s="29"/>
      <c r="C12" s="30" t="s">
        <v>124</v>
      </c>
      <c r="D12" s="29"/>
      <c r="E12" s="29"/>
      <c r="F12" s="31"/>
      <c r="G12" s="31"/>
      <c r="H12" s="31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2026-05-01T16:10:57Z</dcterms:modified>
</cp:coreProperties>
</file>