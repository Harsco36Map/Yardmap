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776BAC54-0789-4B24-AA32-08861E074B8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sumption1" sheetId="10" r:id="rId1"/>
    <sheet name="Consumption2" sheetId="7" r:id="rId2"/>
    <sheet name="Consumption3" sheetId="9" r:id="rId3"/>
    <sheet name="Depletions" sheetId="5" r:id="rId4"/>
    <sheet name="Burning" sheetId="2" r:id="rId5"/>
    <sheet name="Breaking" sheetId="3" r:id="rId6"/>
    <sheet name="Railcars" sheetId="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0" i="2" l="1"/>
  <c r="Z20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<sst xmlns="http://schemas.openxmlformats.org/spreadsheetml/2006/main" count="1081" uniqueCount="361">
  <si>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</si>
  <si>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</si>
  <si>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</si>
  <si>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</si>
  <si>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</si>
  <si>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</si>
  <si>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</si>
  <si>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</si>
  <si>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</si>
  <si>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</si>
  <si>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</si>
  <si>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</si>
  <si>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</si>
  <si>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</si>
  <si>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</si>
  <si>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</si>
  <si>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</si>
  <si>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</si>
  <si>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</si>
  <si>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</si>
  <si>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</si>
  <si>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</si>
  <si>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</si>
  <si>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</si>
  <si>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</si>
  <si>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</si>
  <si>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</si>
  <si>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</si>
  <si>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</si>
  <si>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</si>
  <si>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</si>
  <si>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</si>
  <si>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</si>
  <si>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</si>
  <si>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</si>
  <si>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</si>
  <si>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</si>
  <si>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</si>
  <si>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</si>
  <si>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</si>
  <si>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</si>
  <si>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</si>
  <si>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</si>
  <si>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</si>
  <si>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</si>
  <si>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</si>
  <si>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</si>
  <si>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</si>
  <si>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</si>
  <si>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</si>
  <si>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</si>
  <si>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</si>
  <si>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</si>
  <si>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</si>
  <si>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</si>
  <si>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</si>
  <si>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</si>
  <si>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</si>
  <si>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</si>
  <si>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</si>
  <si>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</si>
  <si>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</si>
  <si>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</si>
  <si>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</si>
  <si>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</si>
  <si>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</si>
  <si>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</si>
  <si>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</si>
  <si>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</si>
  <si>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</si>
  <si>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</si>
  <si>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</si>
  <si>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</si>
  <si>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</si>
  <si>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</si>
  <si>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</si>
  <si>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</si>
  <si>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</si>
  <si>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</si>
  <si>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</si>
  <si>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</si>
  <si>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</si>
  <si>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</si>
  <si>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</si>
  <si>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</si>
  <si>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</si>
  <si>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</si>
  <si>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</si>
  <si>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</si>
  <si>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</si>
  <si>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</si>
  <si>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</si>
  <si>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</si>
  <si>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</si>
  <si>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</si>
  <si>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</si>
  <si>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</si>
  <si>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</si>
  <si>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</si>
  <si>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</si>
  <si>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</si>
  <si>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</si>
  <si>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</si>
  <si>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</si>
  <si>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</si>
  <si>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</si>
  <si>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</si>
  <si>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</si>
  <si>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</si>
  <si>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</si>
  <si>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</si>
  <si>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</si>
  <si>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</si>
  <si>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</si>
  <si>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</si>
  <si>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</si>
  <si>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</si>
  <si>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</si>
  <si>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</si>
  <si>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</si>
  <si>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</si>
  <si>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</si>
  <si>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</si>
  <si>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Empty</t>
  </si>
  <si>
    <t>Kroot</t>
  </si>
  <si>
    <t>Released</t>
  </si>
  <si>
    <t>S 430 Scrap</t>
  </si>
  <si>
    <t>ARVIN SANGO INC</t>
  </si>
  <si>
    <t>GNWR4086</t>
  </si>
  <si>
    <t>GNWR4034</t>
  </si>
  <si>
    <t>40G/606</t>
  </si>
  <si>
    <t>S 40916 Scrap</t>
  </si>
  <si>
    <t>FAURECIA EMISSIO</t>
  </si>
  <si>
    <t>GNWR4087</t>
  </si>
  <si>
    <t>CSS30247</t>
  </si>
  <si>
    <t>Weighed Twice</t>
  </si>
  <si>
    <t>CMC COMMERCIAL M</t>
  </si>
  <si>
    <t>SMIX660648</t>
  </si>
  <si>
    <t>RG&gt;181 Stainless</t>
  </si>
  <si>
    <t>15G/606</t>
  </si>
  <si>
    <t>S 181/409 Blend</t>
  </si>
  <si>
    <t>CLEVELAND CLIFFS</t>
  </si>
  <si>
    <t>RMGX9109</t>
  </si>
  <si>
    <t>RG&gt;430 Blend</t>
  </si>
  <si>
    <t>40K/147</t>
  </si>
  <si>
    <t>AK TUBE LLC</t>
  </si>
  <si>
    <t>GNWR4135</t>
  </si>
  <si>
    <t>AEX26609</t>
  </si>
  <si>
    <t>RG&gt;430 Blend - NewPO 1599060</t>
  </si>
  <si>
    <t>S 181 Purchased Scrap</t>
  </si>
  <si>
    <t>AEX26566</t>
  </si>
  <si>
    <t>AEX19553</t>
  </si>
  <si>
    <t>AEX19544</t>
  </si>
  <si>
    <t>S 430/409 Blend</t>
  </si>
  <si>
    <t>FERROUS PROCESSI</t>
  </si>
  <si>
    <t>ZVBX52230</t>
  </si>
  <si>
    <t>RG&gt; 181 Stainless</t>
  </si>
  <si>
    <t>50G/606</t>
  </si>
  <si>
    <t>SMIX660216</t>
  </si>
  <si>
    <t>PRECISION STRIP</t>
  </si>
  <si>
    <t>GNWR4117</t>
  </si>
  <si>
    <t>GNWR4076</t>
  </si>
  <si>
    <t>CSXT483470</t>
  </si>
  <si>
    <t>RG&gt; 430 Stainless</t>
  </si>
  <si>
    <t>38M/504</t>
  </si>
  <si>
    <t>S 439 Home Scrap</t>
  </si>
  <si>
    <t>CR581775</t>
  </si>
  <si>
    <t>RG&gt;409 ST</t>
  </si>
  <si>
    <t>15T/408</t>
  </si>
  <si>
    <t>GONX320345</t>
  </si>
  <si>
    <t>RG&gt;181 Blend</t>
  </si>
  <si>
    <t>40H/156</t>
  </si>
  <si>
    <t>GONX310738</t>
  </si>
  <si>
    <t>Empty 3/3</t>
  </si>
  <si>
    <t>NS210824</t>
  </si>
  <si>
    <t>Empty 3/4</t>
  </si>
  <si>
    <t>FPT CLEVELAND</t>
  </si>
  <si>
    <t>ITFX2295</t>
  </si>
  <si>
    <t>RG&gt;181 BLEND</t>
  </si>
  <si>
    <t>GNWR4077</t>
  </si>
  <si>
    <t>GNWR4068</t>
  </si>
  <si>
    <t>GNWR4066</t>
  </si>
  <si>
    <t>GNWR4057</t>
  </si>
  <si>
    <t>GNWR4053</t>
  </si>
  <si>
    <t>AEX26561</t>
  </si>
  <si>
    <t>AEX26508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</si>
  <si>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</si>
  <si>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</si>
  <si>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</si>
  <si>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</si>
  <si>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</si>
  <si>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</si>
  <si>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</si>
  <si>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</si>
  <si>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</si>
  <si>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</si>
  <si>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</si>
  <si>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ASNs Arrived Master Report March</t>
  </si>
  <si>
    <t>Empty 3/24</t>
  </si>
  <si>
    <t>RG &gt; 181 St</t>
  </si>
  <si>
    <t>Bundles</t>
  </si>
  <si>
    <t>Railcars Processed in/out of yard</t>
  </si>
  <si>
    <t>GNWR4086 3-23</t>
  </si>
  <si>
    <t>GNWR4034 3-23</t>
  </si>
  <si>
    <t>GNWR4087 3-20</t>
  </si>
  <si>
    <t>CSS30247 3-20</t>
  </si>
  <si>
    <t>SMIX660648 3-16</t>
  </si>
  <si>
    <t>RMGX9109 3-12</t>
  </si>
  <si>
    <t>GNWR4135 3-12</t>
  </si>
  <si>
    <t>AEX26609 3-12</t>
  </si>
  <si>
    <t>AEX26566 3-12</t>
  </si>
  <si>
    <t>AEX19553 3-12</t>
  </si>
  <si>
    <t>AEX19544 3-12</t>
  </si>
  <si>
    <t>ZVBX52230 3-10</t>
  </si>
  <si>
    <t>SMIX660216 3-10</t>
  </si>
  <si>
    <t>GNWR4117 3-10</t>
  </si>
  <si>
    <t>CSXT483470 3-10</t>
  </si>
  <si>
    <t>GNWR4076 3-10</t>
  </si>
  <si>
    <t>CR581775 3-10</t>
  </si>
  <si>
    <t>No Photo Taken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</si>
  <si>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</si>
  <si>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</si>
  <si>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</si>
  <si>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</si>
  <si>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</si>
  <si>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</si>
  <si>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</si>
  <si>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</si>
  <si>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</si>
  <si>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</si>
  <si>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</si>
  <si>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</si>
  <si>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</si>
  <si>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</si>
  <si>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</si>
  <si>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</si>
  <si>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</si>
  <si>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</si>
  <si>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</si>
  <si>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</si>
  <si>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</si>
  <si>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</si>
  <si>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</si>
  <si>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</si>
  <si>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</si>
  <si>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</si>
  <si>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</si>
  <si>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</si>
  <si>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</si>
  <si>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</si>
  <si>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</si>
  <si>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</si>
  <si>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</si>
  <si>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</si>
  <si>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</si>
  <si>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</si>
  <si>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</si>
  <si>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</si>
  <si>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</si>
  <si>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</si>
  <si>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</si>
  <si>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</si>
  <si>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</si>
  <si>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</si>
  <si>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</si>
  <si>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</si>
  <si>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</si>
  <si>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</si>
  <si>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</si>
  <si>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</si>
  <si>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</si>
  <si>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</si>
  <si>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</si>
  <si>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</si>
  <si>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</si>
  <si>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</si>
  <si>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</si>
  <si>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</si>
  <si>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</si>
  <si>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</si>
  <si>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</si>
  <si>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</si>
  <si>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</si>
  <si>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</si>
  <si>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</si>
  <si>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</si>
  <si>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</si>
  <si>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</si>
  <si>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</si>
  <si>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</si>
  <si>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</si>
  <si>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</si>
  <si>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</si>
  <si>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</si>
  <si>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10011529</t>
  </si>
  <si>
    <t>519</t>
  </si>
  <si>
    <t>10011536</t>
  </si>
  <si>
    <t>736</t>
  </si>
  <si>
    <t>10011542</t>
  </si>
  <si>
    <t>761</t>
  </si>
  <si>
    <t>10011526</t>
  </si>
  <si>
    <t>659</t>
  </si>
  <si>
    <t>10011516</t>
  </si>
  <si>
    <t>646</t>
  </si>
  <si>
    <t>944</t>
  </si>
  <si>
    <t>614</t>
  </si>
  <si>
    <t>82B</t>
  </si>
  <si>
    <t>823</t>
  </si>
  <si>
    <t>816</t>
  </si>
  <si>
    <t>10011652</t>
  </si>
  <si>
    <t>90Z</t>
  </si>
  <si>
    <t>902</t>
  </si>
  <si>
    <t>518</t>
  </si>
  <si>
    <t>915</t>
  </si>
  <si>
    <t>613</t>
  </si>
  <si>
    <t>Material_Lots</t>
  </si>
  <si>
    <t>Pile_Number</t>
  </si>
  <si>
    <t>AEX19494</t>
  </si>
  <si>
    <t>Rockport</t>
  </si>
  <si>
    <t>Sheets</t>
  </si>
  <si>
    <t>Empty 4/1</t>
  </si>
  <si>
    <t>AEX26528</t>
  </si>
  <si>
    <t>Sheets/Bales</t>
  </si>
  <si>
    <t>Empty 4/2</t>
  </si>
  <si>
    <t>AEX26569</t>
  </si>
  <si>
    <t>AEX26586</t>
  </si>
  <si>
    <t>S 181 Scrap</t>
  </si>
  <si>
    <t>CLVX807337</t>
  </si>
  <si>
    <t>Sheets/Slitter</t>
  </si>
  <si>
    <t>CR582063</t>
  </si>
  <si>
    <t>DJNX40548</t>
  </si>
  <si>
    <t>FPT</t>
  </si>
  <si>
    <t>Loose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</si>
  <si>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</si>
  <si>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</si>
  <si>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</si>
  <si>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</si>
  <si>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</si>
  <si>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</si>
  <si>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</si>
  <si>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S 436 St Scrap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</si>
  <si>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</si>
  <si>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</si>
  <si>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</si>
  <si>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</si>
  <si>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</si>
  <si>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</si>
  <si>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</si>
  <si>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</si>
  <si>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</si>
  <si>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</si>
  <si>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TENNECO INC</t>
  </si>
  <si>
    <t>Loose/Bundles</t>
  </si>
  <si>
    <t>ZVBX20028</t>
  </si>
  <si>
    <t>14A</t>
  </si>
  <si>
    <t>April Totals</t>
  </si>
  <si>
    <t>2026-04-05</t>
  </si>
  <si>
    <t>2026-04-04</t>
  </si>
  <si>
    <t>2026-04-03</t>
  </si>
  <si>
    <t>2026-04-02</t>
  </si>
  <si>
    <t>245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</si>
</sst>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u/>
      <sz val="11"/>
      <color theme="10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Aptos Narrow"/>
      <family val="2"/>
      <scheme val="minor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9" fillId="0" borderId="0"/>
  </cellStyleXfs>
  <cellXfs count="15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3" fontId="3" fillId="2" borderId="2" xfId="0" applyNumberFormat="1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3" fontId="3" fillId="2" borderId="16" xfId="0" applyNumberFormat="1" applyFont="1" applyFill="1" applyBorder="1" applyAlignment="1">
      <alignment horizontal="center"/>
    </xf>
    <xf numFmtId="0" fontId="3" fillId="2" borderId="31" xfId="0" applyFont="1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3" fillId="2" borderId="30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3" fontId="3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34" xfId="0" applyFont="1" applyFill="1" applyBorder="1" applyAlignment="1">
      <alignment horizontal="left"/>
    </xf>
    <xf numFmtId="0" fontId="0" fillId="2" borderId="5" xfId="0" applyFill="1" applyBorder="1" applyAlignment="1">
      <alignment horizontal="center"/>
    </xf>
    <xf numFmtId="0" fontId="3" fillId="2" borderId="41" xfId="0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3" fillId="2" borderId="4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left"/>
    </xf>
    <xf numFmtId="0" fontId="3" fillId="2" borderId="7" xfId="0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4" xfId="0" applyBorder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3" fontId="3" fillId="2" borderId="44" xfId="0" applyNumberFormat="1" applyFont="1" applyFill="1" applyBorder="1" applyAlignment="1">
      <alignment horizontal="center"/>
    </xf>
    <xf numFmtId="0" fontId="0" fillId="2" borderId="34" xfId="0" applyFill="1" applyBorder="1"/>
    <xf numFmtId="0" fontId="0" fillId="2" borderId="25" xfId="0" applyFill="1" applyBorder="1"/>
    <xf numFmtId="0" fontId="3" fillId="2" borderId="25" xfId="0" applyFont="1" applyFill="1" applyBorder="1"/>
    <xf numFmtId="0" fontId="0" fillId="2" borderId="47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3" xfId="0" applyFill="1" applyBorder="1"/>
    <xf numFmtId="0" fontId="0" fillId="2" borderId="29" xfId="0" applyFill="1" applyBorder="1"/>
    <xf numFmtId="3" fontId="3" fillId="2" borderId="30" xfId="0" applyNumberFormat="1" applyFont="1" applyFill="1" applyBorder="1" applyAlignment="1">
      <alignment horizontal="center"/>
    </xf>
    <xf numFmtId="3" fontId="8" fillId="2" borderId="0" xfId="0" applyNumberFormat="1" applyFont="1" applyFill="1" applyAlignment="1">
      <alignment horizontal="center"/>
    </xf>
    <xf numFmtId="0" fontId="0" fillId="3" borderId="33" xfId="0" applyFill="1" applyBorder="1"/>
    <xf numFmtId="0" fontId="0" fillId="3" borderId="29" xfId="0" applyFill="1" applyBorder="1"/>
    <xf numFmtId="0" fontId="0" fillId="3" borderId="29" xfId="0" applyFill="1" applyBorder="1" applyAlignment="1">
      <alignment horizontal="center"/>
    </xf>
    <xf numFmtId="3" fontId="3" fillId="3" borderId="30" xfId="0" applyNumberFormat="1" applyFont="1" applyFill="1" applyBorder="1" applyAlignment="1">
      <alignment horizontal="center"/>
    </xf>
    <xf numFmtId="3" fontId="3" fillId="3" borderId="16" xfId="0" applyNumberFormat="1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center"/>
    </xf>
    <xf numFmtId="0" fontId="0" fillId="3" borderId="34" xfId="0" applyFill="1" applyBorder="1"/>
    <xf numFmtId="0" fontId="0" fillId="3" borderId="25" xfId="0" applyFill="1" applyBorder="1"/>
    <xf numFmtId="0" fontId="3" fillId="3" borderId="25" xfId="0" applyFont="1" applyFill="1" applyBorder="1"/>
    <xf numFmtId="0" fontId="0" fillId="3" borderId="26" xfId="0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0" fillId="2" borderId="7" xfId="0" applyFill="1" applyBorder="1"/>
    <xf numFmtId="0" fontId="0" fillId="2" borderId="8" xfId="0" applyFill="1" applyBorder="1"/>
    <xf numFmtId="0" fontId="3" fillId="2" borderId="8" xfId="0" applyFont="1" applyFill="1" applyBorder="1"/>
    <xf numFmtId="0" fontId="0" fillId="3" borderId="28" xfId="0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4" fontId="0" fillId="0" borderId="5" xfId="0" applyNumberFormat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5" xfId="0" applyBorder="1"/>
    <xf numFmtId="0" fontId="0" fillId="0" borderId="7" xfId="0" applyBorder="1"/>
    <xf numFmtId="14" fontId="0" fillId="0" borderId="13" xfId="0" applyNumberForma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9" fillId="0" borderId="13" xfId="2" applyBorder="1"/>
    <xf numFmtId="0" fontId="9" fillId="0" borderId="14" xfId="2" applyBorder="1"/>
    <xf numFmtId="0" fontId="9" fillId="0" borderId="15" xfId="2" applyBorder="1"/>
    <xf numFmtId="0" fontId="9" fillId="0" borderId="0" xfId="2"/>
    <xf numFmtId="14" fontId="9" fillId="0" borderId="5" xfId="2" applyNumberFormat="1" applyBorder="1"/>
    <xf numFmtId="0" fontId="9" fillId="0" borderId="6" xfId="2" applyBorder="1"/>
    <xf numFmtId="14" fontId="9" fillId="0" borderId="7" xfId="2" applyNumberFormat="1" applyBorder="1"/>
    <xf numFmtId="0" fontId="9" fillId="0" borderId="8" xfId="2" applyBorder="1"/>
    <xf numFmtId="0" fontId="9" fillId="0" borderId="9" xfId="2" applyBorder="1"/>
    <xf numFmtId="14" fontId="9" fillId="0" borderId="13" xfId="2" applyNumberFormat="1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37" xfId="0" applyFont="1" applyBorder="1" applyAlignment="1">
      <alignment horizontal="left"/>
    </xf>
    <xf numFmtId="0" fontId="4" fillId="0" borderId="36" xfId="0" applyFont="1" applyBorder="1" applyAlignment="1">
      <alignment horizontal="left"/>
    </xf>
    <xf numFmtId="0" fontId="4" fillId="0" borderId="35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5" fillId="0" borderId="0" xfId="1" applyAlignment="1">
      <alignment horizontal="center"/>
    </xf>
    <xf numFmtId="0" fontId="6" fillId="0" borderId="0" xfId="0" applyFont="1" applyAlignment="1">
      <alignment horizontal="center"/>
    </xf>
    <xf numFmtId="0" fontId="5" fillId="0" borderId="5" xfId="1" applyBorder="1" applyAlignment="1">
      <alignment horizontal="center"/>
    </xf>
  </cellXfs>
  <cellStyles count="3">
    <cellStyle name="Hyperlink" xfId="1" builtinId="8"/>
    <cellStyle name="Normal" xfId="0" builtinId="0"/>
    <cellStyle name="Normal 2" xfId="2" xr:uid="{14FBC0D3-65B0-47B8-9EEC-EE55CE0117D8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Truck%20Scales\Railcar%20Photos\2026\03-2026\3-12\AEX26609%203-12.png" TargetMode="External"/><Relationship Id="rId13" Type="http://schemas.openxmlformats.org/officeDocument/2006/relationships/hyperlink" Target="Truck%20Scales\Railcar%20Photos\2026\03-2026\3-10\SMIX660216%203-10.png" TargetMode="External"/><Relationship Id="rId3" Type="http://schemas.openxmlformats.org/officeDocument/2006/relationships/hyperlink" Target="Truck%20Scales\Railcar%20Photos\2026\03-2026\3-20\GNWR4087%203-20.png" TargetMode="External"/><Relationship Id="rId7" Type="http://schemas.openxmlformats.org/officeDocument/2006/relationships/hyperlink" Target="Truck%20Scales\Railcar%20Photos\2026\03-2026\3-12\GNWR4135%203-12.png" TargetMode="External"/><Relationship Id="rId12" Type="http://schemas.openxmlformats.org/officeDocument/2006/relationships/hyperlink" Target="Truck%20Scales\Railcar%20Photos\2026\03-2026\3-10\ZVBX52230%203-10.png" TargetMode="External"/><Relationship Id="rId17" Type="http://schemas.openxmlformats.org/officeDocument/2006/relationships/hyperlink" Target="Truck%20Scales\Railcar%20Photos\2026\03-2026\3-10\CR581775%203-10.png" TargetMode="External"/><Relationship Id="rId2" Type="http://schemas.openxmlformats.org/officeDocument/2006/relationships/hyperlink" Target="Truck%20Scales\Railcar%20Photos\2026\03-2026\3-23\GNWR4034%203-23.png" TargetMode="External"/><Relationship Id="rId16" Type="http://schemas.openxmlformats.org/officeDocument/2006/relationships/hyperlink" Target="Truck%20Scales\Railcar%20Photos\2026\03-2026\3-10\GNWR4076%203-10.png" TargetMode="External"/><Relationship Id="rId1" Type="http://schemas.openxmlformats.org/officeDocument/2006/relationships/hyperlink" Target="Truck%20Scales\Railcar%20Photos\2026\03-2026\3-23\GNWR4086%203-23.png" TargetMode="External"/><Relationship Id="rId6" Type="http://schemas.openxmlformats.org/officeDocument/2006/relationships/hyperlink" Target="Truck%20Scales\Railcar%20Photos\2026\03-2026\3-12\RMGX9109%203-12.png" TargetMode="External"/><Relationship Id="rId11" Type="http://schemas.openxmlformats.org/officeDocument/2006/relationships/hyperlink" Target="Truck%20Scales\Railcar%20Photos\2026\03-2026\3-12\AEX19544%203-12.png" TargetMode="External"/><Relationship Id="rId5" Type="http://schemas.openxmlformats.org/officeDocument/2006/relationships/hyperlink" Target="Truck%20Scales\Railcar%20Photos\2026\03-2026\3-16\SMIX660648%203-16.jpg" TargetMode="External"/><Relationship Id="rId15" Type="http://schemas.openxmlformats.org/officeDocument/2006/relationships/hyperlink" Target="Truck%20Scales\Railcar%20Photos\2026\03-2026\3-10\CSXT483470%203-10.png" TargetMode="External"/><Relationship Id="rId10" Type="http://schemas.openxmlformats.org/officeDocument/2006/relationships/hyperlink" Target="Truck%20Scales\Railcar%20Photos\2026\03-2026\3-12\AEX19553%203-12.png" TargetMode="External"/><Relationship Id="rId4" Type="http://schemas.openxmlformats.org/officeDocument/2006/relationships/hyperlink" Target="Truck%20Scales\Railcar%20Photos\2026\03-2026\3-20\CSS30247%203-20.png" TargetMode="External"/><Relationship Id="rId9" Type="http://schemas.openxmlformats.org/officeDocument/2006/relationships/hyperlink" Target="Truck%20Scales\Railcar%20Photos\2026\03-2026\3-12\AEX26566%203-12.jpg" TargetMode="External"/><Relationship Id="rId14" Type="http://schemas.openxmlformats.org/officeDocument/2006/relationships/hyperlink" Target="Truck%20Scales\Railcar%20Photos\2026\03-2026\3-10\GNWR4117%203-10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6"/>
  <sheetViews>
    <sheetView tabSelected="1" workbookViewId="0">
      <selection activeCell="J6" sqref="J6"/>
    </sheetView>
  </sheetViews>
  <sheetFormatPr defaultRowHeight="15" x14ac:dyDescent="0.25"/>
  <cols>
    <col min="1" max="1" width="8.7109375" style="134" bestFit="1" customWidth="1"/>
    <col min="2" max="2" width="9.28515625" style="134" bestFit="1" customWidth="1"/>
    <col min="3" max="3" width="10.5703125" style="134" bestFit="1" customWidth="1"/>
    <col min="4" max="4" width="15.42578125" style="134" bestFit="1" customWidth="1"/>
    <col min="5" max="5" width="13.5703125" style="134" bestFit="1" customWidth="1"/>
    <col min="6" max="16384" width="9.140625" style="134"/>
  </cols>
  <sheetData>
    <row r="1" spans="1:5" ht="15.75" thickBot="1" x14ac:dyDescent="0.3">
      <c r="A1" s="131" t="s">
        <v>47</v>
      </c>
      <c r="B1" s="132" t="s">
        <v>222</v>
      </c>
      <c r="C1" s="132" t="s">
        <v>221</v>
      </c>
      <c r="D1" s="132" t="s">
        <v>224</v>
      </c>
      <c r="E1" s="133" t="s">
        <v>223</v>
      </c>
    </row>
    <row r="2" spans="1:5" x14ac:dyDescent="0.25">
      <c r="A2" s="140">
        <v>46113</v>
      </c>
      <c r="B2" s="132">
        <v>0</v>
      </c>
      <c r="C2" s="132">
        <v>0</v>
      </c>
      <c r="D2" s="132">
        <v>0</v>
      </c>
      <c r="E2" s="133">
        <v>0</v>
      </c>
    </row>
    <row r="3" spans="1:5" x14ac:dyDescent="0.25">
      <c r="A3" s="135">
        <v>46114</v>
      </c>
      <c r="B3" s="134">
        <v>1223990</v>
      </c>
      <c r="C3" s="134">
        <v>612</v>
      </c>
      <c r="D3" s="134">
        <v>11</v>
      </c>
      <c r="E3" s="136">
        <v>4</v>
      </c>
    </row>
    <row r="4" spans="1:5" x14ac:dyDescent="0.25">
      <c r="A4" s="135">
        <v>46115</v>
      </c>
      <c r="B4" s="134">
        <v>1486880</v>
      </c>
      <c r="C4" s="134">
        <v>743.44</v>
      </c>
      <c r="D4" s="134">
        <v>14</v>
      </c>
      <c r="E4" s="136">
        <v>5</v>
      </c>
    </row>
    <row r="5" spans="1:5" x14ac:dyDescent="0.25">
      <c r="A5" s="135">
        <v>46116</v>
      </c>
      <c r="B5" s="134">
        <v>3125850</v>
      </c>
      <c r="C5" s="134">
        <v>1562.92</v>
      </c>
      <c r="D5" s="134">
        <v>28</v>
      </c>
      <c r="E5" s="136">
        <v>12</v>
      </c>
    </row>
    <row r="6" spans="1:5" ht="15.75" thickBot="1" x14ac:dyDescent="0.3">
      <c r="A6" s="137">
        <v>46117</v>
      </c>
      <c r="B6" s="138">
        <v>3640830</v>
      </c>
      <c r="C6" s="138">
        <v>1820.41</v>
      </c>
      <c r="D6" s="138">
        <v>34</v>
      </c>
      <c r="E6" s="139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82"/>
  <sheetViews>
    <sheetView workbookViewId="0">
      <selection activeCell="F13" sqref="F13"/>
    </sheetView>
  </sheetViews>
  <sheetFormatPr defaultRowHeight="15" x14ac:dyDescent="0.25"/>
  <cols>
    <col min="1" max="1" width="10.7109375" customWidth="1"/>
  </cols>
  <sheetData>
    <row r="1" spans="1:5" x14ac:dyDescent="0.25">
      <c r="A1" s="118" t="s">
        <v>47</v>
      </c>
      <c r="B1" s="119" t="s">
        <v>316</v>
      </c>
      <c r="C1" s="119" t="s">
        <v>315</v>
      </c>
      <c r="D1" s="119" t="s">
        <v>222</v>
      </c>
      <c r="E1" s="120" t="s">
        <v>221</v>
      </c>
    </row>
    <row r="2" spans="1:5" x14ac:dyDescent="0.25">
      <c r="A2" s="125" t="s">
        <v>359</v>
      </c>
      <c r="B2" t="s">
        <v>260</v>
      </c>
      <c r="C2" t="s">
        <v>258</v>
      </c>
      <c r="D2">
        <v>112100</v>
      </c>
      <c r="E2" s="122">
        <v>56.05</v>
      </c>
    </row>
    <row r="3" spans="1:5" x14ac:dyDescent="0.25">
      <c r="A3" s="125" t="s">
        <v>359</v>
      </c>
      <c r="B3" t="s">
        <v>259</v>
      </c>
      <c r="C3" t="s">
        <v>258</v>
      </c>
      <c r="D3">
        <v>280100</v>
      </c>
      <c r="E3" s="122">
        <v>140.05000000000001</v>
      </c>
    </row>
    <row r="4" spans="1:5" x14ac:dyDescent="0.25">
      <c r="A4" s="125" t="s">
        <v>359</v>
      </c>
      <c r="B4" t="s">
        <v>253</v>
      </c>
      <c r="C4" t="s">
        <v>251</v>
      </c>
      <c r="D4">
        <v>102100</v>
      </c>
      <c r="E4" s="122">
        <v>51.05</v>
      </c>
    </row>
    <row r="5" spans="1:5" x14ac:dyDescent="0.25">
      <c r="A5" s="125" t="s">
        <v>359</v>
      </c>
      <c r="B5" t="s">
        <v>252</v>
      </c>
      <c r="C5" t="s">
        <v>251</v>
      </c>
      <c r="D5">
        <v>213250</v>
      </c>
      <c r="E5" s="122">
        <v>106.62</v>
      </c>
    </row>
    <row r="6" spans="1:5" x14ac:dyDescent="0.25">
      <c r="A6" s="125" t="s">
        <v>359</v>
      </c>
      <c r="B6" t="s">
        <v>248</v>
      </c>
      <c r="C6" t="s">
        <v>246</v>
      </c>
      <c r="D6">
        <v>194800</v>
      </c>
      <c r="E6" s="122">
        <v>97.4</v>
      </c>
    </row>
    <row r="7" spans="1:5" x14ac:dyDescent="0.25">
      <c r="A7" s="125" t="s">
        <v>359</v>
      </c>
      <c r="B7" t="s">
        <v>247</v>
      </c>
      <c r="C7" t="s">
        <v>246</v>
      </c>
      <c r="D7">
        <v>50400</v>
      </c>
      <c r="E7" s="122">
        <v>25.2</v>
      </c>
    </row>
    <row r="8" spans="1:5" x14ac:dyDescent="0.25">
      <c r="A8" s="125" t="s">
        <v>359</v>
      </c>
      <c r="B8" t="s">
        <v>241</v>
      </c>
      <c r="C8" t="s">
        <v>239</v>
      </c>
      <c r="D8">
        <v>185510</v>
      </c>
      <c r="E8" s="122">
        <v>92.75</v>
      </c>
    </row>
    <row r="9" spans="1:5" x14ac:dyDescent="0.25">
      <c r="A9" s="125" t="s">
        <v>359</v>
      </c>
      <c r="B9" t="s">
        <v>238</v>
      </c>
      <c r="C9" t="s">
        <v>237</v>
      </c>
      <c r="D9">
        <v>8480</v>
      </c>
      <c r="E9" s="122">
        <v>4.24</v>
      </c>
    </row>
    <row r="10" spans="1:5" x14ac:dyDescent="0.25">
      <c r="A10" s="125" t="s">
        <v>359</v>
      </c>
      <c r="B10" t="s">
        <v>236</v>
      </c>
      <c r="C10" t="s">
        <v>235</v>
      </c>
      <c r="D10">
        <v>22060</v>
      </c>
      <c r="E10" s="122">
        <v>11.03</v>
      </c>
    </row>
    <row r="11" spans="1:5" x14ac:dyDescent="0.25">
      <c r="A11" s="125" t="s">
        <v>359</v>
      </c>
      <c r="B11" t="s">
        <v>226</v>
      </c>
      <c r="C11" t="s">
        <v>225</v>
      </c>
      <c r="D11">
        <v>55190</v>
      </c>
      <c r="E11" s="122">
        <v>27.59</v>
      </c>
    </row>
    <row r="12" spans="1:5" x14ac:dyDescent="0.25">
      <c r="A12" s="125" t="s">
        <v>358</v>
      </c>
      <c r="B12" t="s">
        <v>260</v>
      </c>
      <c r="C12" t="s">
        <v>258</v>
      </c>
      <c r="D12">
        <v>420450</v>
      </c>
      <c r="E12" s="122">
        <v>210.22</v>
      </c>
    </row>
    <row r="13" spans="1:5" x14ac:dyDescent="0.25">
      <c r="A13" s="125" t="s">
        <v>358</v>
      </c>
      <c r="B13" t="s">
        <v>272</v>
      </c>
      <c r="C13" t="s">
        <v>258</v>
      </c>
      <c r="D13">
        <v>84150</v>
      </c>
      <c r="E13" s="122">
        <v>42.08</v>
      </c>
    </row>
    <row r="14" spans="1:5" x14ac:dyDescent="0.25">
      <c r="A14" s="125" t="s">
        <v>358</v>
      </c>
      <c r="B14" t="s">
        <v>284</v>
      </c>
      <c r="C14" t="s">
        <v>283</v>
      </c>
      <c r="D14">
        <v>21000</v>
      </c>
      <c r="E14" s="122">
        <v>10.5</v>
      </c>
    </row>
    <row r="15" spans="1:5" x14ac:dyDescent="0.25">
      <c r="A15" s="125" t="s">
        <v>358</v>
      </c>
      <c r="B15" t="s">
        <v>360</v>
      </c>
      <c r="C15" t="s">
        <v>281</v>
      </c>
      <c r="D15">
        <v>74850</v>
      </c>
      <c r="E15" s="122">
        <v>37.42</v>
      </c>
    </row>
    <row r="16" spans="1:5" x14ac:dyDescent="0.25">
      <c r="A16" s="125" t="s">
        <v>358</v>
      </c>
      <c r="B16" t="s">
        <v>282</v>
      </c>
      <c r="C16" t="s">
        <v>281</v>
      </c>
      <c r="D16">
        <v>134650</v>
      </c>
      <c r="E16" s="122">
        <v>67.33</v>
      </c>
    </row>
    <row r="17" spans="1:5" x14ac:dyDescent="0.25">
      <c r="A17" s="125" t="s">
        <v>358</v>
      </c>
      <c r="B17" t="s">
        <v>253</v>
      </c>
      <c r="C17" t="s">
        <v>251</v>
      </c>
      <c r="D17">
        <v>76350</v>
      </c>
      <c r="E17" s="122">
        <v>38.17</v>
      </c>
    </row>
    <row r="18" spans="1:5" x14ac:dyDescent="0.25">
      <c r="A18" s="125" t="s">
        <v>358</v>
      </c>
      <c r="B18" t="s">
        <v>247</v>
      </c>
      <c r="C18" t="s">
        <v>246</v>
      </c>
      <c r="D18">
        <v>4900</v>
      </c>
      <c r="E18" s="122">
        <v>2.4500000000000002</v>
      </c>
    </row>
    <row r="19" spans="1:5" x14ac:dyDescent="0.25">
      <c r="A19" s="125" t="s">
        <v>358</v>
      </c>
      <c r="B19" t="s">
        <v>241</v>
      </c>
      <c r="C19" t="s">
        <v>239</v>
      </c>
      <c r="D19">
        <v>305410</v>
      </c>
      <c r="E19" s="122">
        <v>152.71</v>
      </c>
    </row>
    <row r="20" spans="1:5" x14ac:dyDescent="0.25">
      <c r="A20" s="125" t="s">
        <v>358</v>
      </c>
      <c r="B20" t="s">
        <v>262</v>
      </c>
      <c r="C20" t="s">
        <v>261</v>
      </c>
      <c r="D20">
        <v>10300</v>
      </c>
      <c r="E20" s="122">
        <v>5.15</v>
      </c>
    </row>
    <row r="21" spans="1:5" x14ac:dyDescent="0.25">
      <c r="A21" s="125" t="s">
        <v>358</v>
      </c>
      <c r="B21" t="s">
        <v>238</v>
      </c>
      <c r="C21" t="s">
        <v>237</v>
      </c>
      <c r="D21">
        <v>3860</v>
      </c>
      <c r="E21" s="122">
        <v>1.93</v>
      </c>
    </row>
    <row r="22" spans="1:5" x14ac:dyDescent="0.25">
      <c r="A22" s="125" t="s">
        <v>358</v>
      </c>
      <c r="B22" t="s">
        <v>278</v>
      </c>
      <c r="C22" t="s">
        <v>277</v>
      </c>
      <c r="D22">
        <v>11100</v>
      </c>
      <c r="E22" s="122">
        <v>5.55</v>
      </c>
    </row>
    <row r="23" spans="1:5" x14ac:dyDescent="0.25">
      <c r="A23" s="125" t="s">
        <v>358</v>
      </c>
      <c r="B23" t="s">
        <v>276</v>
      </c>
      <c r="C23" t="s">
        <v>275</v>
      </c>
      <c r="D23">
        <v>5900</v>
      </c>
      <c r="E23" s="122">
        <v>2.95</v>
      </c>
    </row>
    <row r="24" spans="1:5" x14ac:dyDescent="0.25">
      <c r="A24" s="125" t="s">
        <v>358</v>
      </c>
      <c r="B24" t="s">
        <v>274</v>
      </c>
      <c r="C24" t="s">
        <v>273</v>
      </c>
      <c r="D24">
        <v>243000</v>
      </c>
      <c r="E24" s="122">
        <v>121.5</v>
      </c>
    </row>
    <row r="25" spans="1:5" x14ac:dyDescent="0.25">
      <c r="A25" s="125" t="s">
        <v>358</v>
      </c>
      <c r="B25" t="s">
        <v>236</v>
      </c>
      <c r="C25" t="s">
        <v>235</v>
      </c>
      <c r="D25">
        <v>26290</v>
      </c>
      <c r="E25" s="122">
        <v>13.14</v>
      </c>
    </row>
    <row r="26" spans="1:5" x14ac:dyDescent="0.25">
      <c r="A26" s="125" t="s">
        <v>358</v>
      </c>
      <c r="B26" t="s">
        <v>226</v>
      </c>
      <c r="C26" t="s">
        <v>225</v>
      </c>
      <c r="D26">
        <v>64670</v>
      </c>
      <c r="E26" s="122">
        <v>32.340000000000003</v>
      </c>
    </row>
    <row r="27" spans="1:5" x14ac:dyDescent="0.25">
      <c r="A27" s="125" t="s">
        <v>357</v>
      </c>
      <c r="B27" t="s">
        <v>260</v>
      </c>
      <c r="C27" t="s">
        <v>258</v>
      </c>
      <c r="D27">
        <v>328400</v>
      </c>
      <c r="E27" s="122">
        <v>164.2</v>
      </c>
    </row>
    <row r="28" spans="1:5" x14ac:dyDescent="0.25">
      <c r="A28" s="125" t="s">
        <v>357</v>
      </c>
      <c r="B28" t="s">
        <v>272</v>
      </c>
      <c r="C28" t="s">
        <v>258</v>
      </c>
      <c r="D28">
        <v>646500</v>
      </c>
      <c r="E28" s="122">
        <v>323.25</v>
      </c>
    </row>
    <row r="29" spans="1:5" x14ac:dyDescent="0.25">
      <c r="A29" s="125" t="s">
        <v>357</v>
      </c>
      <c r="B29" t="s">
        <v>271</v>
      </c>
      <c r="C29" t="s">
        <v>269</v>
      </c>
      <c r="D29">
        <v>9000</v>
      </c>
      <c r="E29" s="122">
        <v>4.5</v>
      </c>
    </row>
    <row r="30" spans="1:5" x14ac:dyDescent="0.25">
      <c r="A30" s="125" t="s">
        <v>357</v>
      </c>
      <c r="B30" t="s">
        <v>270</v>
      </c>
      <c r="C30" t="s">
        <v>269</v>
      </c>
      <c r="D30">
        <v>457000</v>
      </c>
      <c r="E30" s="122">
        <v>228.5</v>
      </c>
    </row>
    <row r="31" spans="1:5" x14ac:dyDescent="0.25">
      <c r="A31" s="125" t="s">
        <v>357</v>
      </c>
      <c r="B31" t="s">
        <v>284</v>
      </c>
      <c r="C31" t="s">
        <v>283</v>
      </c>
      <c r="D31">
        <v>63450</v>
      </c>
      <c r="E31" s="122">
        <v>31.73</v>
      </c>
    </row>
    <row r="32" spans="1:5" x14ac:dyDescent="0.25">
      <c r="A32" s="125" t="s">
        <v>357</v>
      </c>
      <c r="B32" t="s">
        <v>282</v>
      </c>
      <c r="C32" t="s">
        <v>281</v>
      </c>
      <c r="D32">
        <v>139800</v>
      </c>
      <c r="E32" s="122">
        <v>69.900000000000006</v>
      </c>
    </row>
    <row r="33" spans="1:5" x14ac:dyDescent="0.25">
      <c r="A33" s="125" t="s">
        <v>357</v>
      </c>
      <c r="B33" t="s">
        <v>253</v>
      </c>
      <c r="C33" t="s">
        <v>251</v>
      </c>
      <c r="D33">
        <v>5250</v>
      </c>
      <c r="E33" s="122">
        <v>2.62</v>
      </c>
    </row>
    <row r="34" spans="1:5" x14ac:dyDescent="0.25">
      <c r="A34" s="125" t="s">
        <v>357</v>
      </c>
      <c r="B34" t="s">
        <v>268</v>
      </c>
      <c r="C34" t="s">
        <v>267</v>
      </c>
      <c r="D34">
        <v>40850</v>
      </c>
      <c r="E34" s="122">
        <v>20.43</v>
      </c>
    </row>
    <row r="35" spans="1:5" x14ac:dyDescent="0.25">
      <c r="A35" s="125" t="s">
        <v>357</v>
      </c>
      <c r="B35" t="s">
        <v>266</v>
      </c>
      <c r="C35" t="s">
        <v>265</v>
      </c>
      <c r="D35">
        <v>27700</v>
      </c>
      <c r="E35" s="122">
        <v>13.85</v>
      </c>
    </row>
    <row r="36" spans="1:5" x14ac:dyDescent="0.25">
      <c r="A36" s="125" t="s">
        <v>357</v>
      </c>
      <c r="B36" t="s">
        <v>264</v>
      </c>
      <c r="C36" t="s">
        <v>263</v>
      </c>
      <c r="D36">
        <v>37950</v>
      </c>
      <c r="E36" s="122">
        <v>18.98</v>
      </c>
    </row>
    <row r="37" spans="1:5" x14ac:dyDescent="0.25">
      <c r="A37" s="125" t="s">
        <v>357</v>
      </c>
      <c r="B37" t="s">
        <v>241</v>
      </c>
      <c r="C37" t="s">
        <v>239</v>
      </c>
      <c r="D37">
        <v>367160</v>
      </c>
      <c r="E37" s="122">
        <v>183.58</v>
      </c>
    </row>
    <row r="38" spans="1:5" x14ac:dyDescent="0.25">
      <c r="A38" s="125" t="s">
        <v>357</v>
      </c>
      <c r="B38" t="s">
        <v>240</v>
      </c>
      <c r="C38" t="s">
        <v>239</v>
      </c>
      <c r="D38">
        <v>354770</v>
      </c>
      <c r="E38" s="122">
        <v>177.38</v>
      </c>
    </row>
    <row r="39" spans="1:5" x14ac:dyDescent="0.25">
      <c r="A39" s="125" t="s">
        <v>357</v>
      </c>
      <c r="B39" t="s">
        <v>262</v>
      </c>
      <c r="C39" t="s">
        <v>261</v>
      </c>
      <c r="D39">
        <v>120500</v>
      </c>
      <c r="E39" s="122">
        <v>60.25</v>
      </c>
    </row>
    <row r="40" spans="1:5" x14ac:dyDescent="0.25">
      <c r="A40" s="125" t="s">
        <v>357</v>
      </c>
      <c r="B40" t="s">
        <v>279</v>
      </c>
      <c r="C40" t="s">
        <v>261</v>
      </c>
      <c r="D40">
        <v>60950</v>
      </c>
      <c r="E40" s="122">
        <v>30.48</v>
      </c>
    </row>
    <row r="41" spans="1:5" x14ac:dyDescent="0.25">
      <c r="A41" s="125" t="s">
        <v>357</v>
      </c>
      <c r="B41" t="s">
        <v>238</v>
      </c>
      <c r="C41" t="s">
        <v>237</v>
      </c>
      <c r="D41">
        <v>16490</v>
      </c>
      <c r="E41" s="122">
        <v>8.24</v>
      </c>
    </row>
    <row r="42" spans="1:5" x14ac:dyDescent="0.25">
      <c r="A42" s="125" t="s">
        <v>357</v>
      </c>
      <c r="B42" t="s">
        <v>278</v>
      </c>
      <c r="C42" t="s">
        <v>277</v>
      </c>
      <c r="D42">
        <v>20100</v>
      </c>
      <c r="E42" s="122">
        <v>10.050000000000001</v>
      </c>
    </row>
    <row r="43" spans="1:5" x14ac:dyDescent="0.25">
      <c r="A43" s="125" t="s">
        <v>357</v>
      </c>
      <c r="B43" t="s">
        <v>276</v>
      </c>
      <c r="C43" t="s">
        <v>275</v>
      </c>
      <c r="D43">
        <v>16400</v>
      </c>
      <c r="E43" s="122">
        <v>8.1999999999999993</v>
      </c>
    </row>
    <row r="44" spans="1:5" x14ac:dyDescent="0.25">
      <c r="A44" s="125" t="s">
        <v>357</v>
      </c>
      <c r="B44" t="s">
        <v>274</v>
      </c>
      <c r="C44" t="s">
        <v>273</v>
      </c>
      <c r="D44">
        <v>173850</v>
      </c>
      <c r="E44" s="122">
        <v>86.92</v>
      </c>
    </row>
    <row r="45" spans="1:5" x14ac:dyDescent="0.25">
      <c r="A45" s="125" t="s">
        <v>357</v>
      </c>
      <c r="B45" t="s">
        <v>292</v>
      </c>
      <c r="C45" t="s">
        <v>291</v>
      </c>
      <c r="D45">
        <v>9950</v>
      </c>
      <c r="E45" s="122">
        <v>4.97</v>
      </c>
    </row>
    <row r="46" spans="1:5" x14ac:dyDescent="0.25">
      <c r="A46" s="125" t="s">
        <v>357</v>
      </c>
      <c r="B46" t="s">
        <v>236</v>
      </c>
      <c r="C46" t="s">
        <v>235</v>
      </c>
      <c r="D46">
        <v>71880</v>
      </c>
      <c r="E46" s="122">
        <v>35.94</v>
      </c>
    </row>
    <row r="47" spans="1:5" x14ac:dyDescent="0.25">
      <c r="A47" s="125" t="s">
        <v>357</v>
      </c>
      <c r="B47" t="s">
        <v>226</v>
      </c>
      <c r="C47" t="s">
        <v>225</v>
      </c>
      <c r="D47">
        <v>157900</v>
      </c>
      <c r="E47" s="122">
        <v>78.95</v>
      </c>
    </row>
    <row r="48" spans="1:5" x14ac:dyDescent="0.25">
      <c r="A48" s="125" t="s">
        <v>356</v>
      </c>
      <c r="B48" t="s">
        <v>260</v>
      </c>
      <c r="C48" t="s">
        <v>258</v>
      </c>
      <c r="D48">
        <v>591300</v>
      </c>
      <c r="E48" s="122">
        <v>295.64999999999998</v>
      </c>
    </row>
    <row r="49" spans="1:5" x14ac:dyDescent="0.25">
      <c r="A49" s="125" t="s">
        <v>356</v>
      </c>
      <c r="B49" t="s">
        <v>259</v>
      </c>
      <c r="C49" t="s">
        <v>258</v>
      </c>
      <c r="D49">
        <v>236400</v>
      </c>
      <c r="E49" s="122">
        <v>118.2</v>
      </c>
    </row>
    <row r="50" spans="1:5" x14ac:dyDescent="0.25">
      <c r="A50" s="125" t="s">
        <v>356</v>
      </c>
      <c r="B50" t="s">
        <v>272</v>
      </c>
      <c r="C50" t="s">
        <v>258</v>
      </c>
      <c r="D50">
        <v>321000</v>
      </c>
      <c r="E50" s="122">
        <v>160.5</v>
      </c>
    </row>
    <row r="51" spans="1:5" x14ac:dyDescent="0.25">
      <c r="A51" s="125" t="s">
        <v>356</v>
      </c>
      <c r="B51" t="s">
        <v>271</v>
      </c>
      <c r="C51" t="s">
        <v>269</v>
      </c>
      <c r="D51">
        <v>71850</v>
      </c>
      <c r="E51" s="122">
        <v>35.92</v>
      </c>
    </row>
    <row r="52" spans="1:5" x14ac:dyDescent="0.25">
      <c r="A52" s="125" t="s">
        <v>356</v>
      </c>
      <c r="B52" t="s">
        <v>270</v>
      </c>
      <c r="C52" t="s">
        <v>269</v>
      </c>
      <c r="D52">
        <v>298300</v>
      </c>
      <c r="E52" s="122">
        <v>149.15</v>
      </c>
    </row>
    <row r="53" spans="1:5" x14ac:dyDescent="0.25">
      <c r="A53" s="125" t="s">
        <v>356</v>
      </c>
      <c r="B53" t="s">
        <v>284</v>
      </c>
      <c r="C53" t="s">
        <v>283</v>
      </c>
      <c r="D53">
        <v>79800</v>
      </c>
      <c r="E53" s="122">
        <v>39.9</v>
      </c>
    </row>
    <row r="54" spans="1:5" x14ac:dyDescent="0.25">
      <c r="A54" s="125" t="s">
        <v>356</v>
      </c>
      <c r="B54" t="s">
        <v>293</v>
      </c>
      <c r="C54" t="s">
        <v>256</v>
      </c>
      <c r="D54">
        <v>7100</v>
      </c>
      <c r="E54" s="122">
        <v>3.55</v>
      </c>
    </row>
    <row r="55" spans="1:5" x14ac:dyDescent="0.25">
      <c r="A55" s="125" t="s">
        <v>356</v>
      </c>
      <c r="B55" t="s">
        <v>257</v>
      </c>
      <c r="C55" t="s">
        <v>256</v>
      </c>
      <c r="D55">
        <v>25700</v>
      </c>
      <c r="E55" s="122">
        <v>12.85</v>
      </c>
    </row>
    <row r="56" spans="1:5" x14ac:dyDescent="0.25">
      <c r="A56" s="125" t="s">
        <v>356</v>
      </c>
      <c r="B56" t="s">
        <v>255</v>
      </c>
      <c r="C56" t="s">
        <v>254</v>
      </c>
      <c r="D56">
        <v>15300</v>
      </c>
      <c r="E56" s="122">
        <v>7.65</v>
      </c>
    </row>
    <row r="57" spans="1:5" x14ac:dyDescent="0.25">
      <c r="A57" s="125" t="s">
        <v>356</v>
      </c>
      <c r="B57" t="s">
        <v>253</v>
      </c>
      <c r="C57" t="s">
        <v>251</v>
      </c>
      <c r="D57">
        <v>95200</v>
      </c>
      <c r="E57" s="122">
        <v>47.6</v>
      </c>
    </row>
    <row r="58" spans="1:5" x14ac:dyDescent="0.25">
      <c r="A58" s="125" t="s">
        <v>356</v>
      </c>
      <c r="B58" t="s">
        <v>252</v>
      </c>
      <c r="C58" t="s">
        <v>251</v>
      </c>
      <c r="D58">
        <v>151500</v>
      </c>
      <c r="E58" s="122">
        <v>75.75</v>
      </c>
    </row>
    <row r="59" spans="1:5" x14ac:dyDescent="0.25">
      <c r="A59" s="125" t="s">
        <v>356</v>
      </c>
      <c r="B59" t="s">
        <v>250</v>
      </c>
      <c r="C59" t="s">
        <v>249</v>
      </c>
      <c r="D59">
        <v>19650</v>
      </c>
      <c r="E59" s="122">
        <v>9.82</v>
      </c>
    </row>
    <row r="60" spans="1:5" x14ac:dyDescent="0.25">
      <c r="A60" s="125" t="s">
        <v>356</v>
      </c>
      <c r="B60" t="s">
        <v>268</v>
      </c>
      <c r="C60" t="s">
        <v>267</v>
      </c>
      <c r="D60">
        <v>20350</v>
      </c>
      <c r="E60" s="122">
        <v>10.18</v>
      </c>
    </row>
    <row r="61" spans="1:5" x14ac:dyDescent="0.25">
      <c r="A61" s="125" t="s">
        <v>356</v>
      </c>
      <c r="B61" t="s">
        <v>266</v>
      </c>
      <c r="C61" t="s">
        <v>265</v>
      </c>
      <c r="D61">
        <v>29000</v>
      </c>
      <c r="E61" s="122">
        <v>14.5</v>
      </c>
    </row>
    <row r="62" spans="1:5" x14ac:dyDescent="0.25">
      <c r="A62" s="125" t="s">
        <v>356</v>
      </c>
      <c r="B62" t="s">
        <v>264</v>
      </c>
      <c r="C62" t="s">
        <v>263</v>
      </c>
      <c r="D62">
        <v>27050</v>
      </c>
      <c r="E62" s="122">
        <v>13.53</v>
      </c>
    </row>
    <row r="63" spans="1:5" x14ac:dyDescent="0.25">
      <c r="A63" s="125" t="s">
        <v>356</v>
      </c>
      <c r="B63" t="s">
        <v>248</v>
      </c>
      <c r="C63" t="s">
        <v>246</v>
      </c>
      <c r="D63">
        <v>70250</v>
      </c>
      <c r="E63" s="122">
        <v>35.119999999999997</v>
      </c>
    </row>
    <row r="64" spans="1:5" x14ac:dyDescent="0.25">
      <c r="A64" s="125" t="s">
        <v>356</v>
      </c>
      <c r="B64" t="s">
        <v>247</v>
      </c>
      <c r="C64" t="s">
        <v>246</v>
      </c>
      <c r="D64">
        <v>4850</v>
      </c>
      <c r="E64" s="122">
        <v>2.42</v>
      </c>
    </row>
    <row r="65" spans="1:5" x14ac:dyDescent="0.25">
      <c r="A65" s="125" t="s">
        <v>356</v>
      </c>
      <c r="B65" t="s">
        <v>280</v>
      </c>
      <c r="C65" t="s">
        <v>244</v>
      </c>
      <c r="D65">
        <v>21550</v>
      </c>
      <c r="E65" s="122">
        <v>10.78</v>
      </c>
    </row>
    <row r="66" spans="1:5" x14ac:dyDescent="0.25">
      <c r="A66" s="125" t="s">
        <v>356</v>
      </c>
      <c r="B66" t="s">
        <v>63</v>
      </c>
      <c r="C66" t="s">
        <v>244</v>
      </c>
      <c r="D66">
        <v>19000</v>
      </c>
      <c r="E66" s="122">
        <v>9.5</v>
      </c>
    </row>
    <row r="67" spans="1:5" x14ac:dyDescent="0.25">
      <c r="A67" s="125" t="s">
        <v>356</v>
      </c>
      <c r="B67" t="s">
        <v>245</v>
      </c>
      <c r="C67" t="s">
        <v>244</v>
      </c>
      <c r="D67">
        <v>38080</v>
      </c>
      <c r="E67" s="122">
        <v>19.04</v>
      </c>
    </row>
    <row r="68" spans="1:5" x14ac:dyDescent="0.25">
      <c r="A68" s="125" t="s">
        <v>356</v>
      </c>
      <c r="B68" t="s">
        <v>243</v>
      </c>
      <c r="C68" t="s">
        <v>242</v>
      </c>
      <c r="D68">
        <v>19900</v>
      </c>
      <c r="E68" s="122">
        <v>9.9499999999999993</v>
      </c>
    </row>
    <row r="69" spans="1:5" x14ac:dyDescent="0.25">
      <c r="A69" s="125" t="s">
        <v>356</v>
      </c>
      <c r="B69" t="s">
        <v>241</v>
      </c>
      <c r="C69" t="s">
        <v>239</v>
      </c>
      <c r="D69">
        <v>177530</v>
      </c>
      <c r="E69" s="122">
        <v>88.77</v>
      </c>
    </row>
    <row r="70" spans="1:5" x14ac:dyDescent="0.25">
      <c r="A70" s="125" t="s">
        <v>356</v>
      </c>
      <c r="B70" t="s">
        <v>240</v>
      </c>
      <c r="C70" t="s">
        <v>239</v>
      </c>
      <c r="D70">
        <v>499000</v>
      </c>
      <c r="E70" s="122">
        <v>249.5</v>
      </c>
    </row>
    <row r="71" spans="1:5" x14ac:dyDescent="0.25">
      <c r="A71" s="125" t="s">
        <v>356</v>
      </c>
      <c r="B71" t="s">
        <v>262</v>
      </c>
      <c r="C71" t="s">
        <v>261</v>
      </c>
      <c r="D71">
        <v>139700</v>
      </c>
      <c r="E71" s="122">
        <v>69.849999999999994</v>
      </c>
    </row>
    <row r="72" spans="1:5" x14ac:dyDescent="0.25">
      <c r="A72" s="125" t="s">
        <v>356</v>
      </c>
      <c r="B72" t="s">
        <v>279</v>
      </c>
      <c r="C72" t="s">
        <v>261</v>
      </c>
      <c r="D72">
        <v>10050</v>
      </c>
      <c r="E72" s="122">
        <v>5.03</v>
      </c>
    </row>
    <row r="73" spans="1:5" x14ac:dyDescent="0.25">
      <c r="A73" s="125" t="s">
        <v>356</v>
      </c>
      <c r="B73" t="s">
        <v>238</v>
      </c>
      <c r="C73" t="s">
        <v>237</v>
      </c>
      <c r="D73">
        <v>31850</v>
      </c>
      <c r="E73" s="122">
        <v>15.93</v>
      </c>
    </row>
    <row r="74" spans="1:5" x14ac:dyDescent="0.25">
      <c r="A74" s="125" t="s">
        <v>356</v>
      </c>
      <c r="B74" t="s">
        <v>290</v>
      </c>
      <c r="C74" t="s">
        <v>289</v>
      </c>
      <c r="D74">
        <v>3750</v>
      </c>
      <c r="E74" s="122">
        <v>1.88</v>
      </c>
    </row>
    <row r="75" spans="1:5" x14ac:dyDescent="0.25">
      <c r="A75" s="125" t="s">
        <v>356</v>
      </c>
      <c r="B75" t="s">
        <v>288</v>
      </c>
      <c r="C75" t="s">
        <v>287</v>
      </c>
      <c r="D75">
        <v>15150</v>
      </c>
      <c r="E75" s="122">
        <v>7.58</v>
      </c>
    </row>
    <row r="76" spans="1:5" x14ac:dyDescent="0.25">
      <c r="A76" s="125" t="s">
        <v>356</v>
      </c>
      <c r="B76" t="s">
        <v>286</v>
      </c>
      <c r="C76" t="s">
        <v>285</v>
      </c>
      <c r="D76">
        <v>11150</v>
      </c>
      <c r="E76" s="122">
        <v>5.58</v>
      </c>
    </row>
    <row r="77" spans="1:5" x14ac:dyDescent="0.25">
      <c r="A77" s="125" t="s">
        <v>356</v>
      </c>
      <c r="B77" t="s">
        <v>236</v>
      </c>
      <c r="C77" t="s">
        <v>235</v>
      </c>
      <c r="D77">
        <v>75370</v>
      </c>
      <c r="E77" s="122">
        <v>37.69</v>
      </c>
    </row>
    <row r="78" spans="1:5" x14ac:dyDescent="0.25">
      <c r="A78" s="125" t="s">
        <v>356</v>
      </c>
      <c r="B78" t="s">
        <v>234</v>
      </c>
      <c r="C78" t="s">
        <v>233</v>
      </c>
      <c r="D78">
        <v>32500</v>
      </c>
      <c r="E78" s="122">
        <v>16.25</v>
      </c>
    </row>
    <row r="79" spans="1:5" x14ac:dyDescent="0.25">
      <c r="A79" s="125" t="s">
        <v>356</v>
      </c>
      <c r="B79" t="s">
        <v>232</v>
      </c>
      <c r="C79" t="s">
        <v>231</v>
      </c>
      <c r="D79">
        <v>12650</v>
      </c>
      <c r="E79" s="122">
        <v>6.33</v>
      </c>
    </row>
    <row r="80" spans="1:5" x14ac:dyDescent="0.25">
      <c r="A80" s="125" t="s">
        <v>356</v>
      </c>
      <c r="B80" t="s">
        <v>230</v>
      </c>
      <c r="C80" t="s">
        <v>229</v>
      </c>
      <c r="D80">
        <v>265400</v>
      </c>
      <c r="E80" s="122">
        <v>132.69999999999999</v>
      </c>
    </row>
    <row r="81" spans="1:5" x14ac:dyDescent="0.25">
      <c r="A81" s="125" t="s">
        <v>356</v>
      </c>
      <c r="B81" t="s">
        <v>228</v>
      </c>
      <c r="C81" t="s">
        <v>227</v>
      </c>
      <c r="D81">
        <v>17150</v>
      </c>
      <c r="E81" s="122">
        <v>8.57</v>
      </c>
    </row>
    <row r="82" spans="1:5" ht="15.75" thickBot="1" x14ac:dyDescent="0.3">
      <c r="A82" s="126" t="s">
        <v>356</v>
      </c>
      <c r="B82" s="123" t="s">
        <v>226</v>
      </c>
      <c r="C82" s="123" t="s">
        <v>225</v>
      </c>
      <c r="D82" s="123">
        <v>186450</v>
      </c>
      <c r="E82" s="124">
        <v>93.22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73"/>
  <sheetViews>
    <sheetView workbookViewId="0">
      <selection activeCell="L15" sqref="L15"/>
    </sheetView>
  </sheetViews>
  <sheetFormatPr defaultRowHeight="15" x14ac:dyDescent="0.25"/>
  <sheetData>
    <row r="1" spans="1:4" x14ac:dyDescent="0.25">
      <c r="A1" t="s">
        <v>316</v>
      </c>
      <c r="B1" t="s">
        <v>315</v>
      </c>
      <c r="C1" t="s">
        <v>222</v>
      </c>
      <c r="D1" t="s">
        <v>221</v>
      </c>
    </row>
    <row r="2" spans="1:4" x14ac:dyDescent="0.25">
      <c r="A2" t="s">
        <v>260</v>
      </c>
      <c r="B2" t="s">
        <v>258</v>
      </c>
      <c r="C2">
        <v>1452250</v>
      </c>
      <c r="D2">
        <v>726.12</v>
      </c>
    </row>
    <row r="3" spans="1:4" x14ac:dyDescent="0.25">
      <c r="A3" t="s">
        <v>259</v>
      </c>
      <c r="B3" t="s">
        <v>258</v>
      </c>
      <c r="C3">
        <v>516500</v>
      </c>
      <c r="D3">
        <v>258.25</v>
      </c>
    </row>
    <row r="4" spans="1:4" x14ac:dyDescent="0.25">
      <c r="A4" t="s">
        <v>272</v>
      </c>
      <c r="B4" t="s">
        <v>258</v>
      </c>
      <c r="C4">
        <v>1051650</v>
      </c>
      <c r="D4">
        <v>525.83000000000004</v>
      </c>
    </row>
    <row r="5" spans="1:4" x14ac:dyDescent="0.25">
      <c r="A5" t="s">
        <v>271</v>
      </c>
      <c r="B5" t="s">
        <v>269</v>
      </c>
      <c r="C5">
        <v>80850</v>
      </c>
      <c r="D5">
        <v>40.42</v>
      </c>
    </row>
    <row r="6" spans="1:4" x14ac:dyDescent="0.25">
      <c r="A6" t="s">
        <v>270</v>
      </c>
      <c r="B6" t="s">
        <v>269</v>
      </c>
      <c r="C6">
        <v>755300</v>
      </c>
      <c r="D6">
        <v>377.65</v>
      </c>
    </row>
    <row r="7" spans="1:4" x14ac:dyDescent="0.25">
      <c r="A7" t="s">
        <v>284</v>
      </c>
      <c r="B7" t="s">
        <v>283</v>
      </c>
      <c r="C7">
        <v>164250</v>
      </c>
      <c r="D7">
        <v>82.12</v>
      </c>
    </row>
    <row r="8" spans="1:4" x14ac:dyDescent="0.25">
      <c r="A8" t="s">
        <v>293</v>
      </c>
      <c r="B8" t="s">
        <v>256</v>
      </c>
      <c r="C8">
        <v>7100</v>
      </c>
      <c r="D8">
        <v>3.55</v>
      </c>
    </row>
    <row r="9" spans="1:4" x14ac:dyDescent="0.25">
      <c r="A9" t="s">
        <v>257</v>
      </c>
      <c r="B9" t="s">
        <v>256</v>
      </c>
      <c r="C9">
        <v>25700</v>
      </c>
      <c r="D9">
        <v>12.85</v>
      </c>
    </row>
    <row r="10" spans="1:4" x14ac:dyDescent="0.25">
      <c r="A10" t="s">
        <v>255</v>
      </c>
      <c r="B10" t="s">
        <v>254</v>
      </c>
      <c r="C10">
        <v>15300</v>
      </c>
      <c r="D10">
        <v>7.65</v>
      </c>
    </row>
    <row r="11" spans="1:4" x14ac:dyDescent="0.25">
      <c r="A11" t="s">
        <v>360</v>
      </c>
      <c r="B11" t="s">
        <v>281</v>
      </c>
      <c r="C11">
        <v>74850</v>
      </c>
      <c r="D11">
        <v>37.42</v>
      </c>
    </row>
    <row r="12" spans="1:4" x14ac:dyDescent="0.25">
      <c r="A12" t="s">
        <v>282</v>
      </c>
      <c r="B12" t="s">
        <v>281</v>
      </c>
      <c r="C12">
        <v>274450</v>
      </c>
      <c r="D12">
        <v>137.22</v>
      </c>
    </row>
    <row r="13" spans="1:4" x14ac:dyDescent="0.25">
      <c r="A13" t="s">
        <v>253</v>
      </c>
      <c r="B13" t="s">
        <v>251</v>
      </c>
      <c r="C13">
        <v>278900</v>
      </c>
      <c r="D13">
        <v>139.44999999999999</v>
      </c>
    </row>
    <row r="14" spans="1:4" x14ac:dyDescent="0.25">
      <c r="A14" t="s">
        <v>252</v>
      </c>
      <c r="B14" t="s">
        <v>251</v>
      </c>
      <c r="C14">
        <v>364750</v>
      </c>
      <c r="D14">
        <v>182.38</v>
      </c>
    </row>
    <row r="15" spans="1:4" x14ac:dyDescent="0.25">
      <c r="A15" t="s">
        <v>250</v>
      </c>
      <c r="B15" t="s">
        <v>249</v>
      </c>
      <c r="C15">
        <v>19650</v>
      </c>
      <c r="D15">
        <v>9.82</v>
      </c>
    </row>
    <row r="16" spans="1:4" x14ac:dyDescent="0.25">
      <c r="A16" t="s">
        <v>268</v>
      </c>
      <c r="B16" t="s">
        <v>267</v>
      </c>
      <c r="C16">
        <v>61200</v>
      </c>
      <c r="D16">
        <v>30.6</v>
      </c>
    </row>
    <row r="17" spans="1:4" x14ac:dyDescent="0.25">
      <c r="A17" t="s">
        <v>266</v>
      </c>
      <c r="B17" t="s">
        <v>265</v>
      </c>
      <c r="C17">
        <v>56700</v>
      </c>
      <c r="D17">
        <v>28.35</v>
      </c>
    </row>
    <row r="18" spans="1:4" x14ac:dyDescent="0.25">
      <c r="A18" t="s">
        <v>264</v>
      </c>
      <c r="B18" t="s">
        <v>263</v>
      </c>
      <c r="C18">
        <v>65000</v>
      </c>
      <c r="D18">
        <v>32.5</v>
      </c>
    </row>
    <row r="19" spans="1:4" x14ac:dyDescent="0.25">
      <c r="A19" t="s">
        <v>248</v>
      </c>
      <c r="B19" t="s">
        <v>246</v>
      </c>
      <c r="C19">
        <v>265050</v>
      </c>
      <c r="D19">
        <v>132.53</v>
      </c>
    </row>
    <row r="20" spans="1:4" x14ac:dyDescent="0.25">
      <c r="A20" t="s">
        <v>247</v>
      </c>
      <c r="B20" t="s">
        <v>246</v>
      </c>
      <c r="C20">
        <v>60150</v>
      </c>
      <c r="D20">
        <v>30.07</v>
      </c>
    </row>
    <row r="21" spans="1:4" x14ac:dyDescent="0.25">
      <c r="A21" t="s">
        <v>280</v>
      </c>
      <c r="B21" t="s">
        <v>244</v>
      </c>
      <c r="C21">
        <v>21550</v>
      </c>
      <c r="D21">
        <v>10.78</v>
      </c>
    </row>
    <row r="22" spans="1:4" x14ac:dyDescent="0.25">
      <c r="A22" t="s">
        <v>63</v>
      </c>
      <c r="B22" t="s">
        <v>244</v>
      </c>
      <c r="C22">
        <v>19000</v>
      </c>
      <c r="D22">
        <v>9.5</v>
      </c>
    </row>
    <row r="23" spans="1:4" x14ac:dyDescent="0.25">
      <c r="A23" t="s">
        <v>245</v>
      </c>
      <c r="B23" t="s">
        <v>244</v>
      </c>
      <c r="C23">
        <v>38080</v>
      </c>
      <c r="D23">
        <v>19.04</v>
      </c>
    </row>
    <row r="24" spans="1:4" x14ac:dyDescent="0.25">
      <c r="A24" t="s">
        <v>243</v>
      </c>
      <c r="B24" t="s">
        <v>242</v>
      </c>
      <c r="C24">
        <v>19900</v>
      </c>
      <c r="D24">
        <v>9.9499999999999993</v>
      </c>
    </row>
    <row r="25" spans="1:4" x14ac:dyDescent="0.25">
      <c r="A25" t="s">
        <v>241</v>
      </c>
      <c r="B25" t="s">
        <v>239</v>
      </c>
      <c r="C25">
        <v>1035610</v>
      </c>
      <c r="D25">
        <v>517.79999999999995</v>
      </c>
    </row>
    <row r="26" spans="1:4" x14ac:dyDescent="0.25">
      <c r="A26" t="s">
        <v>240</v>
      </c>
      <c r="B26" t="s">
        <v>239</v>
      </c>
      <c r="C26">
        <v>853770</v>
      </c>
      <c r="D26">
        <v>426.88</v>
      </c>
    </row>
    <row r="27" spans="1:4" x14ac:dyDescent="0.25">
      <c r="A27" t="s">
        <v>262</v>
      </c>
      <c r="B27" t="s">
        <v>261</v>
      </c>
      <c r="C27">
        <v>270500</v>
      </c>
      <c r="D27">
        <v>135.25</v>
      </c>
    </row>
    <row r="28" spans="1:4" x14ac:dyDescent="0.25">
      <c r="A28" t="s">
        <v>279</v>
      </c>
      <c r="B28" t="s">
        <v>261</v>
      </c>
      <c r="C28">
        <v>71000</v>
      </c>
      <c r="D28">
        <v>35.5</v>
      </c>
    </row>
    <row r="29" spans="1:4" x14ac:dyDescent="0.25">
      <c r="A29" t="s">
        <v>238</v>
      </c>
      <c r="B29" t="s">
        <v>237</v>
      </c>
      <c r="C29">
        <v>60680</v>
      </c>
      <c r="D29">
        <v>30.34</v>
      </c>
    </row>
    <row r="30" spans="1:4" x14ac:dyDescent="0.25">
      <c r="A30" t="s">
        <v>278</v>
      </c>
      <c r="B30" t="s">
        <v>277</v>
      </c>
      <c r="C30">
        <v>31200</v>
      </c>
      <c r="D30">
        <v>15.6</v>
      </c>
    </row>
    <row r="31" spans="1:4" x14ac:dyDescent="0.25">
      <c r="A31" t="s">
        <v>276</v>
      </c>
      <c r="B31" t="s">
        <v>275</v>
      </c>
      <c r="C31">
        <v>22300</v>
      </c>
      <c r="D31">
        <v>11.15</v>
      </c>
    </row>
    <row r="32" spans="1:4" x14ac:dyDescent="0.25">
      <c r="A32" t="s">
        <v>274</v>
      </c>
      <c r="B32" t="s">
        <v>273</v>
      </c>
      <c r="C32">
        <v>416850</v>
      </c>
      <c r="D32">
        <v>208.43</v>
      </c>
    </row>
    <row r="33" spans="1:4" x14ac:dyDescent="0.25">
      <c r="A33" t="s">
        <v>292</v>
      </c>
      <c r="B33" t="s">
        <v>291</v>
      </c>
      <c r="C33">
        <v>9950</v>
      </c>
      <c r="D33">
        <v>4.97</v>
      </c>
    </row>
    <row r="34" spans="1:4" x14ac:dyDescent="0.25">
      <c r="A34" t="s">
        <v>290</v>
      </c>
      <c r="B34" t="s">
        <v>289</v>
      </c>
      <c r="C34">
        <v>3750</v>
      </c>
      <c r="D34">
        <v>1.88</v>
      </c>
    </row>
    <row r="35" spans="1:4" x14ac:dyDescent="0.25">
      <c r="A35" t="s">
        <v>288</v>
      </c>
      <c r="B35" t="s">
        <v>287</v>
      </c>
      <c r="C35">
        <v>15150</v>
      </c>
      <c r="D35">
        <v>7.58</v>
      </c>
    </row>
    <row r="36" spans="1:4" x14ac:dyDescent="0.25">
      <c r="A36" t="s">
        <v>286</v>
      </c>
      <c r="B36" t="s">
        <v>285</v>
      </c>
      <c r="C36">
        <v>11150</v>
      </c>
      <c r="D36">
        <v>5.58</v>
      </c>
    </row>
    <row r="37" spans="1:4" x14ac:dyDescent="0.25">
      <c r="A37" t="s">
        <v>236</v>
      </c>
      <c r="B37" t="s">
        <v>235</v>
      </c>
      <c r="C37">
        <v>195600</v>
      </c>
      <c r="D37">
        <v>97.8</v>
      </c>
    </row>
    <row r="38" spans="1:4" x14ac:dyDescent="0.25">
      <c r="A38" t="s">
        <v>234</v>
      </c>
      <c r="B38" t="s">
        <v>233</v>
      </c>
      <c r="C38">
        <v>32500</v>
      </c>
      <c r="D38">
        <v>16.25</v>
      </c>
    </row>
    <row r="39" spans="1:4" x14ac:dyDescent="0.25">
      <c r="A39" t="s">
        <v>232</v>
      </c>
      <c r="B39" t="s">
        <v>231</v>
      </c>
      <c r="C39">
        <v>12650</v>
      </c>
      <c r="D39">
        <v>6.33</v>
      </c>
    </row>
    <row r="40" spans="1:4" x14ac:dyDescent="0.25">
      <c r="A40" t="s">
        <v>230</v>
      </c>
      <c r="B40" t="s">
        <v>229</v>
      </c>
      <c r="C40">
        <v>265400</v>
      </c>
      <c r="D40">
        <v>132.69999999999999</v>
      </c>
    </row>
    <row r="41" spans="1:4" x14ac:dyDescent="0.25">
      <c r="A41" t="s">
        <v>228</v>
      </c>
      <c r="B41" t="s">
        <v>227</v>
      </c>
      <c r="C41">
        <v>17150</v>
      </c>
      <c r="D41">
        <v>8.57</v>
      </c>
    </row>
    <row r="42" spans="1:4" x14ac:dyDescent="0.25">
      <c r="A42" t="s">
        <v>226</v>
      </c>
      <c r="B42" t="s">
        <v>225</v>
      </c>
      <c r="C42">
        <v>464210</v>
      </c>
      <c r="D42">
        <v>232.1</v>
      </c>
    </row>
    <row r="43" spans="1:4" x14ac:dyDescent="0.25">
      <c r="A43" t="s">
        <v>279</v>
      </c>
      <c r="B43" t="s">
        <v>261</v>
      </c>
      <c r="C43">
        <v>1191850</v>
      </c>
      <c r="D43">
        <v>595.91999999999996</v>
      </c>
    </row>
    <row r="44" spans="1:4" x14ac:dyDescent="0.25">
      <c r="A44" t="s">
        <v>312</v>
      </c>
      <c r="B44" t="s">
        <v>294</v>
      </c>
      <c r="C44">
        <v>10000</v>
      </c>
      <c r="D44">
        <v>5</v>
      </c>
    </row>
    <row r="45" spans="1:4" x14ac:dyDescent="0.25">
      <c r="A45" t="s">
        <v>295</v>
      </c>
      <c r="B45" t="s">
        <v>294</v>
      </c>
      <c r="C45">
        <v>64550</v>
      </c>
      <c r="D45">
        <v>32.270000000000003</v>
      </c>
    </row>
    <row r="46" spans="1:4" x14ac:dyDescent="0.25">
      <c r="A46" t="s">
        <v>238</v>
      </c>
      <c r="B46" t="s">
        <v>237</v>
      </c>
      <c r="C46">
        <v>669580</v>
      </c>
      <c r="D46">
        <v>334.79</v>
      </c>
    </row>
    <row r="47" spans="1:4" x14ac:dyDescent="0.25">
      <c r="A47" t="s">
        <v>278</v>
      </c>
      <c r="B47" t="s">
        <v>277</v>
      </c>
      <c r="C47">
        <v>56650</v>
      </c>
      <c r="D47">
        <v>28.32</v>
      </c>
    </row>
    <row r="48" spans="1:4" x14ac:dyDescent="0.25">
      <c r="A48" t="s">
        <v>276</v>
      </c>
      <c r="B48" t="s">
        <v>275</v>
      </c>
      <c r="C48">
        <v>212250</v>
      </c>
      <c r="D48">
        <v>106.12</v>
      </c>
    </row>
    <row r="49" spans="1:4" x14ac:dyDescent="0.25">
      <c r="A49" t="s">
        <v>111</v>
      </c>
      <c r="B49" t="s">
        <v>275</v>
      </c>
      <c r="C49">
        <v>11700</v>
      </c>
      <c r="D49">
        <v>5.85</v>
      </c>
    </row>
    <row r="50" spans="1:4" x14ac:dyDescent="0.25">
      <c r="A50" t="s">
        <v>274</v>
      </c>
      <c r="B50" t="s">
        <v>273</v>
      </c>
      <c r="C50">
        <v>1975650</v>
      </c>
      <c r="D50">
        <v>987.83</v>
      </c>
    </row>
    <row r="51" spans="1:4" x14ac:dyDescent="0.25">
      <c r="A51" t="s">
        <v>314</v>
      </c>
      <c r="B51" t="s">
        <v>291</v>
      </c>
      <c r="C51">
        <v>30000</v>
      </c>
      <c r="D51">
        <v>15</v>
      </c>
    </row>
    <row r="52" spans="1:4" x14ac:dyDescent="0.25">
      <c r="A52" t="s">
        <v>305</v>
      </c>
      <c r="B52" t="s">
        <v>291</v>
      </c>
      <c r="C52">
        <v>50450</v>
      </c>
      <c r="D52">
        <v>25.23</v>
      </c>
    </row>
    <row r="53" spans="1:4" x14ac:dyDescent="0.25">
      <c r="A53" t="s">
        <v>292</v>
      </c>
      <c r="B53" t="s">
        <v>291</v>
      </c>
      <c r="C53">
        <v>151750</v>
      </c>
      <c r="D53">
        <v>75.88</v>
      </c>
    </row>
    <row r="54" spans="1:4" x14ac:dyDescent="0.25">
      <c r="A54" t="s">
        <v>303</v>
      </c>
      <c r="B54" t="s">
        <v>302</v>
      </c>
      <c r="C54">
        <v>198550</v>
      </c>
      <c r="D54">
        <v>99.28</v>
      </c>
    </row>
    <row r="55" spans="1:4" x14ac:dyDescent="0.25">
      <c r="A55" t="s">
        <v>301</v>
      </c>
      <c r="B55" t="s">
        <v>300</v>
      </c>
      <c r="C55">
        <v>152650</v>
      </c>
      <c r="D55">
        <v>76.33</v>
      </c>
    </row>
    <row r="56" spans="1:4" x14ac:dyDescent="0.25">
      <c r="A56" t="s">
        <v>297</v>
      </c>
      <c r="B56" t="s">
        <v>296</v>
      </c>
      <c r="C56">
        <v>275400</v>
      </c>
      <c r="D56">
        <v>137.69999999999999</v>
      </c>
    </row>
    <row r="57" spans="1:4" x14ac:dyDescent="0.25">
      <c r="A57" t="s">
        <v>299</v>
      </c>
      <c r="B57" t="s">
        <v>298</v>
      </c>
      <c r="C57">
        <v>20150</v>
      </c>
      <c r="D57">
        <v>10.07</v>
      </c>
    </row>
    <row r="58" spans="1:4" x14ac:dyDescent="0.25">
      <c r="A58" t="s">
        <v>308</v>
      </c>
      <c r="B58" t="s">
        <v>289</v>
      </c>
      <c r="C58">
        <v>5600</v>
      </c>
      <c r="D58">
        <v>2.8</v>
      </c>
    </row>
    <row r="59" spans="1:4" x14ac:dyDescent="0.25">
      <c r="A59" t="s">
        <v>290</v>
      </c>
      <c r="B59" t="s">
        <v>289</v>
      </c>
      <c r="C59">
        <v>13250</v>
      </c>
      <c r="D59">
        <v>6.62</v>
      </c>
    </row>
    <row r="60" spans="1:4" x14ac:dyDescent="0.25">
      <c r="A60" t="s">
        <v>307</v>
      </c>
      <c r="B60" t="s">
        <v>287</v>
      </c>
      <c r="C60">
        <v>15600</v>
      </c>
      <c r="D60">
        <v>7.8</v>
      </c>
    </row>
    <row r="61" spans="1:4" x14ac:dyDescent="0.25">
      <c r="A61" t="s">
        <v>288</v>
      </c>
      <c r="B61" t="s">
        <v>287</v>
      </c>
      <c r="C61">
        <v>48450</v>
      </c>
      <c r="D61">
        <v>24.23</v>
      </c>
    </row>
    <row r="62" spans="1:4" x14ac:dyDescent="0.25">
      <c r="A62" t="s">
        <v>306</v>
      </c>
      <c r="B62" t="s">
        <v>287</v>
      </c>
      <c r="C62">
        <v>14900</v>
      </c>
      <c r="D62">
        <v>7.45</v>
      </c>
    </row>
    <row r="63" spans="1:4" x14ac:dyDescent="0.25">
      <c r="A63" t="s">
        <v>286</v>
      </c>
      <c r="B63" t="s">
        <v>285</v>
      </c>
      <c r="C63">
        <v>44300</v>
      </c>
      <c r="D63">
        <v>22.15</v>
      </c>
    </row>
    <row r="64" spans="1:4" x14ac:dyDescent="0.25">
      <c r="A64" t="s">
        <v>236</v>
      </c>
      <c r="B64" t="s">
        <v>235</v>
      </c>
      <c r="C64">
        <v>1765000</v>
      </c>
      <c r="D64">
        <v>882.5</v>
      </c>
    </row>
    <row r="65" spans="1:4" x14ac:dyDescent="0.25">
      <c r="A65" t="s">
        <v>311</v>
      </c>
      <c r="B65" t="s">
        <v>309</v>
      </c>
      <c r="C65">
        <v>48200</v>
      </c>
      <c r="D65">
        <v>24.1</v>
      </c>
    </row>
    <row r="66" spans="1:4" x14ac:dyDescent="0.25">
      <c r="A66" t="s">
        <v>310</v>
      </c>
      <c r="B66" t="s">
        <v>309</v>
      </c>
      <c r="C66">
        <v>0</v>
      </c>
      <c r="D66">
        <v>0</v>
      </c>
    </row>
    <row r="67" spans="1:4" x14ac:dyDescent="0.25">
      <c r="A67" t="s">
        <v>313</v>
      </c>
      <c r="B67" t="s">
        <v>233</v>
      </c>
      <c r="C67">
        <v>116050</v>
      </c>
      <c r="D67">
        <v>58.02</v>
      </c>
    </row>
    <row r="68" spans="1:4" x14ac:dyDescent="0.25">
      <c r="A68" t="s">
        <v>234</v>
      </c>
      <c r="B68" t="s">
        <v>233</v>
      </c>
      <c r="C68">
        <v>77800</v>
      </c>
      <c r="D68">
        <v>38.9</v>
      </c>
    </row>
    <row r="69" spans="1:4" x14ac:dyDescent="0.25">
      <c r="A69" t="s">
        <v>232</v>
      </c>
      <c r="B69" t="s">
        <v>231</v>
      </c>
      <c r="C69">
        <v>155650</v>
      </c>
      <c r="D69">
        <v>77.83</v>
      </c>
    </row>
    <row r="70" spans="1:4" x14ac:dyDescent="0.25">
      <c r="A70" t="s">
        <v>304</v>
      </c>
      <c r="B70" t="s">
        <v>229</v>
      </c>
      <c r="C70">
        <v>1016550</v>
      </c>
      <c r="D70">
        <v>508.27</v>
      </c>
    </row>
    <row r="71" spans="1:4" x14ac:dyDescent="0.25">
      <c r="A71" t="s">
        <v>230</v>
      </c>
      <c r="B71" t="s">
        <v>229</v>
      </c>
      <c r="C71">
        <v>839950</v>
      </c>
      <c r="D71">
        <v>419.98</v>
      </c>
    </row>
    <row r="72" spans="1:4" x14ac:dyDescent="0.25">
      <c r="A72" t="s">
        <v>228</v>
      </c>
      <c r="B72" t="s">
        <v>227</v>
      </c>
      <c r="C72">
        <v>170800</v>
      </c>
      <c r="D72">
        <v>85.4</v>
      </c>
    </row>
    <row r="73" spans="1:4" x14ac:dyDescent="0.25">
      <c r="A73" t="s">
        <v>226</v>
      </c>
      <c r="B73" t="s">
        <v>225</v>
      </c>
      <c r="C73">
        <v>4396910</v>
      </c>
      <c r="D73">
        <v>2198.4499999999998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41" t="s">
        <v>10</v>
      </c>
      <c r="B1" s="142"/>
      <c r="D1" s="141" t="s">
        <v>11</v>
      </c>
      <c r="E1" s="142"/>
      <c r="G1" s="143" t="s">
        <v>43</v>
      </c>
      <c r="H1" s="142"/>
      <c r="J1" s="141" t="s">
        <v>98</v>
      </c>
      <c r="K1" s="142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82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220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workbookViewId="0">
      <selection activeCell="Z26" sqref="Z26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8.7109375" style="1" bestFit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127">
        <v>46113</v>
      </c>
      <c r="W2" s="119">
        <v>36450</v>
      </c>
      <c r="X2" s="119" t="s">
        <v>61</v>
      </c>
      <c r="Y2" s="119">
        <v>952</v>
      </c>
      <c r="Z2" s="119">
        <v>18.225000000000001</v>
      </c>
      <c r="AA2" s="119">
        <v>2</v>
      </c>
      <c r="AB2" s="120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121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 s="122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121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 s="122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121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 s="122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121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 s="122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121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 s="122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121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 s="122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121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 s="122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121">
        <v>46114</v>
      </c>
      <c r="W10">
        <v>700</v>
      </c>
      <c r="X10" t="s">
        <v>354</v>
      </c>
      <c r="Y10">
        <v>147</v>
      </c>
      <c r="Z10">
        <v>0.35</v>
      </c>
      <c r="AA10">
        <v>1</v>
      </c>
      <c r="AB10" s="122">
        <v>0.35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121">
        <v>46114</v>
      </c>
      <c r="W11">
        <v>51950</v>
      </c>
      <c r="X11" t="s">
        <v>61</v>
      </c>
      <c r="Y11">
        <v>952</v>
      </c>
      <c r="Z11">
        <v>25.975000000000001</v>
      </c>
      <c r="AA11">
        <v>2</v>
      </c>
      <c r="AB11" s="122">
        <v>51.95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121">
        <v>46114</v>
      </c>
      <c r="W12">
        <v>23600</v>
      </c>
      <c r="X12" t="s">
        <v>61</v>
      </c>
      <c r="Y12">
        <v>952</v>
      </c>
      <c r="Z12">
        <v>11.8</v>
      </c>
      <c r="AA12">
        <v>2</v>
      </c>
      <c r="AB12" s="122">
        <v>23.6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121">
        <v>46114</v>
      </c>
      <c r="W13">
        <v>9750</v>
      </c>
      <c r="X13" t="s">
        <v>93</v>
      </c>
      <c r="Y13">
        <v>321</v>
      </c>
      <c r="Z13">
        <v>4.875</v>
      </c>
      <c r="AA13">
        <v>2</v>
      </c>
      <c r="AB13" s="122">
        <v>9.75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121">
        <v>46118</v>
      </c>
      <c r="W14">
        <v>15650</v>
      </c>
      <c r="X14" t="s">
        <v>97</v>
      </c>
      <c r="Y14">
        <v>519</v>
      </c>
      <c r="Z14">
        <v>7.8250000000000002</v>
      </c>
      <c r="AA14">
        <v>2</v>
      </c>
      <c r="AB14" s="122">
        <v>15.65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121">
        <v>46118</v>
      </c>
      <c r="W15">
        <v>41850</v>
      </c>
      <c r="X15" t="s">
        <v>61</v>
      </c>
      <c r="Y15">
        <v>952</v>
      </c>
      <c r="Z15">
        <v>20.925000000000001</v>
      </c>
      <c r="AA15">
        <v>2</v>
      </c>
      <c r="AB15" s="122">
        <v>41.85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121">
        <v>46118</v>
      </c>
      <c r="W16">
        <v>6850</v>
      </c>
      <c r="X16" t="s">
        <v>97</v>
      </c>
      <c r="Y16">
        <v>519</v>
      </c>
      <c r="Z16">
        <v>3.4249999999999901</v>
      </c>
      <c r="AA16">
        <v>2</v>
      </c>
      <c r="AB16" s="122">
        <v>6.85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121">
        <v>46118</v>
      </c>
      <c r="W17">
        <v>13800</v>
      </c>
      <c r="X17" t="s">
        <v>61</v>
      </c>
      <c r="Y17">
        <v>952</v>
      </c>
      <c r="Z17">
        <v>6.9</v>
      </c>
      <c r="AA17">
        <v>2</v>
      </c>
      <c r="AB17" s="122">
        <v>13.8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121">
        <v>46118</v>
      </c>
      <c r="W18">
        <v>3250</v>
      </c>
      <c r="X18" t="s">
        <v>58</v>
      </c>
      <c r="Y18">
        <v>519</v>
      </c>
      <c r="Z18">
        <v>1.625</v>
      </c>
      <c r="AA18">
        <v>2</v>
      </c>
      <c r="AB18" s="122">
        <v>3.25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125"/>
      <c r="W19"/>
      <c r="X19"/>
      <c r="Y19"/>
      <c r="Z19"/>
      <c r="AA19"/>
      <c r="AB19" s="122"/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128" t="s">
        <v>355</v>
      </c>
      <c r="W20" s="123"/>
      <c r="X20" s="123"/>
      <c r="Y20" s="123"/>
      <c r="Z20" s="129">
        <f>SUM(Z2:Z18)</f>
        <v>157.84999999999991</v>
      </c>
      <c r="AA20" s="129"/>
      <c r="AB20" s="130">
        <f>SUM(AB2:AB18)</f>
        <v>315.35000000000008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</row>
    <row r="23" spans="1:28" x14ac:dyDescent="0.25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T14"/>
  <sheetViews>
    <sheetView workbookViewId="0">
      <selection activeCell="N17" sqref="N17"/>
    </sheetView>
  </sheetViews>
  <sheetFormatPr defaultRowHeight="15" x14ac:dyDescent="0.25"/>
  <cols>
    <col min="1" max="1" width="10.5703125" customWidth="1"/>
    <col min="2" max="2" width="15.42578125" customWidth="1"/>
    <col min="3" max="3" width="7.42578125" customWidth="1"/>
    <col min="4" max="4" width="9.7109375" bestFit="1" customWidth="1"/>
    <col min="5" max="5" width="11.85546875" bestFit="1" customWidth="1"/>
    <col min="6" max="6" width="8.85546875" bestFit="1" customWidth="1"/>
    <col min="7" max="7" width="1.42578125" customWidth="1"/>
    <col min="8" max="8" width="11.5703125" customWidth="1"/>
    <col min="9" max="9" width="14" customWidth="1"/>
    <col min="14" max="14" width="1.7109375" customWidth="1"/>
    <col min="15" max="15" width="10.85546875" customWidth="1"/>
    <col min="16" max="16" width="12.5703125" customWidth="1"/>
    <col min="18" max="18" width="11.140625" customWidth="1"/>
    <col min="19" max="19" width="12.140625" customWidth="1"/>
  </cols>
  <sheetData>
    <row r="1" spans="1:20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H1" s="22" t="s">
        <v>73</v>
      </c>
      <c r="I1" s="23" t="s">
        <v>74</v>
      </c>
      <c r="J1" s="23" t="s">
        <v>75</v>
      </c>
      <c r="K1" s="23" t="s">
        <v>76</v>
      </c>
      <c r="L1" s="23" t="s">
        <v>77</v>
      </c>
      <c r="M1" s="24" t="s">
        <v>78</v>
      </c>
      <c r="O1" s="22" t="s">
        <v>73</v>
      </c>
      <c r="P1" s="23" t="s">
        <v>74</v>
      </c>
      <c r="Q1" s="23" t="s">
        <v>75</v>
      </c>
      <c r="R1" s="23" t="s">
        <v>76</v>
      </c>
      <c r="S1" s="23" t="s">
        <v>77</v>
      </c>
      <c r="T1" s="24" t="s">
        <v>78</v>
      </c>
    </row>
    <row r="2" spans="1:20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H2" s="16">
        <v>46063</v>
      </c>
      <c r="I2" s="17" t="s">
        <v>37</v>
      </c>
      <c r="J2" s="17">
        <v>50700</v>
      </c>
      <c r="K2" s="17">
        <v>25.35</v>
      </c>
      <c r="L2" s="17" t="s">
        <v>81</v>
      </c>
      <c r="M2" s="18">
        <v>951</v>
      </c>
      <c r="O2" s="16">
        <v>46099</v>
      </c>
      <c r="P2" s="17" t="s">
        <v>37</v>
      </c>
      <c r="Q2" s="17">
        <v>65550</v>
      </c>
      <c r="R2" s="17">
        <v>32.774999999999999</v>
      </c>
      <c r="S2" s="17" t="s">
        <v>81</v>
      </c>
      <c r="T2" s="18">
        <v>952</v>
      </c>
    </row>
    <row r="3" spans="1:20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H3" s="5">
        <v>46063</v>
      </c>
      <c r="I3" s="1" t="s">
        <v>79</v>
      </c>
      <c r="J3" s="1">
        <v>45050</v>
      </c>
      <c r="K3" s="1">
        <v>22.524999999999999</v>
      </c>
      <c r="L3" s="1" t="s">
        <v>80</v>
      </c>
      <c r="M3" s="6">
        <v>321</v>
      </c>
      <c r="O3" s="5">
        <v>46104</v>
      </c>
      <c r="P3" s="1" t="s">
        <v>79</v>
      </c>
      <c r="Q3" s="1">
        <v>23450</v>
      </c>
      <c r="R3" s="1">
        <v>11.725</v>
      </c>
      <c r="S3" s="1" t="s">
        <v>120</v>
      </c>
      <c r="T3" s="6">
        <v>321</v>
      </c>
    </row>
    <row r="4" spans="1:20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H4" s="5">
        <v>46063</v>
      </c>
      <c r="I4" s="1" t="s">
        <v>23</v>
      </c>
      <c r="J4" s="1">
        <v>85800</v>
      </c>
      <c r="K4" s="1">
        <v>42.9</v>
      </c>
      <c r="L4" s="1" t="s">
        <v>84</v>
      </c>
      <c r="M4" s="6">
        <v>384</v>
      </c>
      <c r="O4" s="5">
        <v>46104</v>
      </c>
      <c r="P4" s="1" t="s">
        <v>85</v>
      </c>
      <c r="Q4" s="1">
        <v>42100</v>
      </c>
      <c r="R4" s="1">
        <v>21.05</v>
      </c>
      <c r="S4" s="1" t="s">
        <v>86</v>
      </c>
      <c r="T4" s="6" t="s">
        <v>15</v>
      </c>
    </row>
    <row r="5" spans="1:20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H5" s="5">
        <v>46080</v>
      </c>
      <c r="I5" s="1" t="s">
        <v>101</v>
      </c>
      <c r="J5" s="1">
        <v>34000</v>
      </c>
      <c r="K5" s="1">
        <v>17</v>
      </c>
      <c r="L5" s="1" t="s">
        <v>102</v>
      </c>
      <c r="M5" s="6">
        <v>518</v>
      </c>
      <c r="O5" s="5">
        <v>46104</v>
      </c>
      <c r="P5" s="1" t="s">
        <v>23</v>
      </c>
      <c r="Q5" s="1">
        <v>73850</v>
      </c>
      <c r="R5" s="1">
        <v>36.924999999999997</v>
      </c>
      <c r="S5" s="1" t="s">
        <v>84</v>
      </c>
      <c r="T5" s="6">
        <v>384</v>
      </c>
    </row>
    <row r="6" spans="1:20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H6" s="5">
        <v>46080</v>
      </c>
      <c r="I6" s="1" t="s">
        <v>103</v>
      </c>
      <c r="J6" s="1">
        <v>27350</v>
      </c>
      <c r="K6" s="1">
        <v>13.675000000000001</v>
      </c>
      <c r="L6" s="1" t="s">
        <v>104</v>
      </c>
      <c r="M6" s="6">
        <v>260</v>
      </c>
      <c r="O6" s="5">
        <v>46104</v>
      </c>
      <c r="P6" s="1" t="s">
        <v>23</v>
      </c>
      <c r="Q6" s="1">
        <v>66500</v>
      </c>
      <c r="R6" s="1">
        <v>33.25</v>
      </c>
      <c r="S6" s="1" t="s">
        <v>84</v>
      </c>
      <c r="T6" s="6">
        <v>384</v>
      </c>
    </row>
    <row r="7" spans="1:20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H7" s="5">
        <v>46080</v>
      </c>
      <c r="I7" s="1" t="s">
        <v>95</v>
      </c>
      <c r="J7" s="1">
        <v>41150</v>
      </c>
      <c r="K7" s="1">
        <v>20.574999999999999</v>
      </c>
      <c r="L7" s="1" t="s">
        <v>81</v>
      </c>
      <c r="M7" s="6">
        <v>952</v>
      </c>
      <c r="O7" s="5">
        <v>46104</v>
      </c>
      <c r="P7" s="1" t="s">
        <v>36</v>
      </c>
      <c r="Q7" s="1">
        <v>96750</v>
      </c>
      <c r="R7" s="1">
        <v>48.375</v>
      </c>
      <c r="S7" s="1" t="s">
        <v>121</v>
      </c>
      <c r="T7" s="6">
        <v>590</v>
      </c>
    </row>
    <row r="8" spans="1:20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H8" s="5">
        <v>46080</v>
      </c>
      <c r="I8" s="1" t="s">
        <v>96</v>
      </c>
      <c r="J8" s="1">
        <v>65400</v>
      </c>
      <c r="K8" s="1">
        <v>32.700000000000003</v>
      </c>
      <c r="L8" s="1" t="s">
        <v>84</v>
      </c>
      <c r="M8" s="6">
        <v>384</v>
      </c>
      <c r="O8" s="11" t="s">
        <v>122</v>
      </c>
      <c r="P8" s="20" t="s">
        <v>90</v>
      </c>
      <c r="Q8" s="20">
        <v>368200</v>
      </c>
      <c r="R8" s="20"/>
      <c r="S8" s="1"/>
      <c r="T8" s="6"/>
    </row>
    <row r="9" spans="1:20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H9" s="5">
        <v>46080</v>
      </c>
      <c r="I9" s="1" t="s">
        <v>96</v>
      </c>
      <c r="J9" s="1">
        <v>63500</v>
      </c>
      <c r="K9" s="1">
        <v>31.75</v>
      </c>
      <c r="L9" s="1" t="s">
        <v>84</v>
      </c>
      <c r="M9" s="6">
        <v>384</v>
      </c>
      <c r="O9" s="12"/>
      <c r="P9" s="10" t="s">
        <v>91</v>
      </c>
      <c r="Q9" s="10"/>
      <c r="R9" s="10">
        <v>184.1</v>
      </c>
      <c r="S9" s="8"/>
      <c r="T9" s="21"/>
    </row>
    <row r="10" spans="1:20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H10" s="5">
        <v>46080</v>
      </c>
      <c r="I10" s="1" t="s">
        <v>85</v>
      </c>
      <c r="J10" s="1">
        <v>23950</v>
      </c>
      <c r="K10" s="1">
        <v>11.975</v>
      </c>
      <c r="L10" s="1" t="s">
        <v>86</v>
      </c>
      <c r="M10" s="6" t="s">
        <v>15</v>
      </c>
    </row>
    <row r="11" spans="1:20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H11" s="11" t="s">
        <v>89</v>
      </c>
      <c r="I11" s="20" t="s">
        <v>90</v>
      </c>
      <c r="J11" s="20">
        <v>436900</v>
      </c>
      <c r="K11" s="20"/>
      <c r="L11" s="1"/>
      <c r="M11" s="6"/>
    </row>
    <row r="12" spans="1:20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H12" s="12"/>
      <c r="I12" s="10" t="s">
        <v>91</v>
      </c>
      <c r="J12" s="10"/>
      <c r="K12" s="10">
        <v>218.45</v>
      </c>
      <c r="L12" s="8"/>
      <c r="M12" s="21"/>
    </row>
    <row r="13" spans="1:20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0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AA293-A2BF-40BB-BC1C-D0220D21BA0E}">
  <dimension ref="A1:R90"/>
  <sheetViews>
    <sheetView topLeftCell="A57" workbookViewId="0">
      <selection activeCell="B93" sqref="B93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9" bestFit="1" customWidth="1"/>
    <col min="5" max="5" width="29.42578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5703125" customWidth="1"/>
    <col min="13" max="13" width="16.28515625" customWidth="1"/>
  </cols>
  <sheetData>
    <row r="1" spans="1:18" ht="15.75" thickBot="1" x14ac:dyDescent="0.3">
      <c r="A1" s="146" t="s">
        <v>197</v>
      </c>
      <c r="B1" s="147"/>
      <c r="C1" s="148"/>
      <c r="M1" s="149">
        <v>44</v>
      </c>
      <c r="N1" s="151" t="s">
        <v>201</v>
      </c>
      <c r="O1" s="151"/>
      <c r="P1" s="151"/>
      <c r="Q1" s="151"/>
      <c r="R1" s="151"/>
    </row>
    <row r="2" spans="1:18" ht="15.75" thickBot="1" x14ac:dyDescent="0.3">
      <c r="A2" s="53" t="s">
        <v>196</v>
      </c>
      <c r="B2" s="53" t="s">
        <v>195</v>
      </c>
      <c r="C2" s="53" t="s">
        <v>193</v>
      </c>
      <c r="D2" s="54" t="s">
        <v>194</v>
      </c>
      <c r="E2" s="54" t="s">
        <v>193</v>
      </c>
      <c r="F2" s="54" t="s">
        <v>192</v>
      </c>
      <c r="G2" s="54" t="s">
        <v>191</v>
      </c>
      <c r="H2" s="54" t="s">
        <v>190</v>
      </c>
      <c r="I2" s="54" t="s">
        <v>189</v>
      </c>
      <c r="J2" s="54" t="s">
        <v>188</v>
      </c>
      <c r="K2" s="54" t="s">
        <v>187</v>
      </c>
      <c r="L2" s="54" t="s">
        <v>186</v>
      </c>
      <c r="M2" s="149"/>
      <c r="N2" s="151"/>
      <c r="O2" s="151"/>
      <c r="P2" s="151"/>
      <c r="Q2" s="151"/>
      <c r="R2" s="151"/>
    </row>
    <row r="3" spans="1:18" x14ac:dyDescent="0.25">
      <c r="A3" s="55" t="s">
        <v>185</v>
      </c>
      <c r="B3" s="56">
        <v>1326018</v>
      </c>
      <c r="C3" s="56" t="s">
        <v>141</v>
      </c>
      <c r="D3" s="56">
        <v>10011503</v>
      </c>
      <c r="E3" s="57" t="s">
        <v>131</v>
      </c>
      <c r="F3" s="56">
        <v>235600</v>
      </c>
      <c r="G3" s="56">
        <v>65400</v>
      </c>
      <c r="H3" s="58">
        <v>170200</v>
      </c>
      <c r="I3" s="59">
        <v>236000</v>
      </c>
      <c r="J3" s="59">
        <v>62200</v>
      </c>
      <c r="K3" s="60">
        <v>408</v>
      </c>
      <c r="L3" s="61" t="s">
        <v>125</v>
      </c>
      <c r="M3" s="145" t="s">
        <v>219</v>
      </c>
    </row>
    <row r="4" spans="1:18" x14ac:dyDescent="0.25">
      <c r="A4" s="49"/>
      <c r="B4" s="34"/>
      <c r="C4" s="34"/>
      <c r="D4" s="34"/>
      <c r="E4" s="34"/>
      <c r="F4" s="34"/>
      <c r="G4" s="34"/>
      <c r="H4" s="33"/>
      <c r="I4" s="32"/>
      <c r="J4" s="32"/>
      <c r="K4" s="30"/>
      <c r="L4" s="42" t="s">
        <v>173</v>
      </c>
      <c r="M4" s="145"/>
    </row>
    <row r="5" spans="1:18" x14ac:dyDescent="0.25">
      <c r="A5" s="48" t="s">
        <v>184</v>
      </c>
      <c r="B5" s="39">
        <v>1326015</v>
      </c>
      <c r="C5" s="39" t="s">
        <v>141</v>
      </c>
      <c r="D5" s="39">
        <v>10011558</v>
      </c>
      <c r="E5" s="51" t="s">
        <v>149</v>
      </c>
      <c r="F5" s="39">
        <v>249400</v>
      </c>
      <c r="G5" s="39">
        <v>59000</v>
      </c>
      <c r="H5" s="38">
        <v>190400</v>
      </c>
      <c r="I5" s="41">
        <v>249900</v>
      </c>
      <c r="J5" s="41">
        <v>57550</v>
      </c>
      <c r="K5" s="40">
        <v>606</v>
      </c>
      <c r="L5" s="47" t="s">
        <v>125</v>
      </c>
      <c r="M5" s="145" t="s">
        <v>219</v>
      </c>
    </row>
    <row r="6" spans="1:18" x14ac:dyDescent="0.25">
      <c r="A6" s="49"/>
      <c r="B6" s="34"/>
      <c r="C6" s="34"/>
      <c r="D6" s="34"/>
      <c r="E6" s="34"/>
      <c r="F6" s="34"/>
      <c r="G6" s="34"/>
      <c r="H6" s="33"/>
      <c r="I6" s="32"/>
      <c r="J6" s="30"/>
      <c r="K6" s="30"/>
      <c r="L6" s="42" t="s">
        <v>175</v>
      </c>
      <c r="M6" s="145"/>
    </row>
    <row r="7" spans="1:18" x14ac:dyDescent="0.25">
      <c r="A7" s="48" t="s">
        <v>183</v>
      </c>
      <c r="B7" s="39">
        <v>1390356</v>
      </c>
      <c r="C7" s="39" t="s">
        <v>127</v>
      </c>
      <c r="D7" s="39">
        <v>10011509</v>
      </c>
      <c r="E7" s="51" t="s">
        <v>126</v>
      </c>
      <c r="F7" s="39">
        <v>261300</v>
      </c>
      <c r="G7" s="39">
        <v>61240</v>
      </c>
      <c r="H7" s="38">
        <v>200060</v>
      </c>
      <c r="I7" s="41">
        <v>261100</v>
      </c>
      <c r="J7" s="41">
        <v>60950</v>
      </c>
      <c r="K7" s="40">
        <v>504</v>
      </c>
      <c r="L7" s="47" t="s">
        <v>125</v>
      </c>
      <c r="M7" s="145" t="s">
        <v>219</v>
      </c>
    </row>
    <row r="8" spans="1:18" x14ac:dyDescent="0.25">
      <c r="A8" s="49"/>
      <c r="B8" s="34"/>
      <c r="C8" s="34"/>
      <c r="D8" s="34"/>
      <c r="E8" s="34"/>
      <c r="F8" s="34"/>
      <c r="G8" s="34"/>
      <c r="H8" s="33"/>
      <c r="I8" s="32"/>
      <c r="J8" s="30"/>
      <c r="K8" s="30"/>
      <c r="L8" s="42" t="s">
        <v>175</v>
      </c>
      <c r="M8" s="145"/>
    </row>
    <row r="9" spans="1:18" x14ac:dyDescent="0.25">
      <c r="A9" s="48" t="s">
        <v>182</v>
      </c>
      <c r="B9" s="39">
        <v>1390356</v>
      </c>
      <c r="C9" s="39" t="s">
        <v>127</v>
      </c>
      <c r="D9" s="39">
        <v>10011509</v>
      </c>
      <c r="E9" s="51" t="s">
        <v>126</v>
      </c>
      <c r="F9" s="39">
        <v>259100</v>
      </c>
      <c r="G9" s="39">
        <v>60080</v>
      </c>
      <c r="H9" s="38">
        <v>199020</v>
      </c>
      <c r="I9" s="41">
        <v>259250</v>
      </c>
      <c r="J9" s="41">
        <v>60450</v>
      </c>
      <c r="K9" s="40">
        <v>505</v>
      </c>
      <c r="L9" s="47" t="s">
        <v>125</v>
      </c>
      <c r="M9" s="145" t="s">
        <v>219</v>
      </c>
    </row>
    <row r="10" spans="1:18" x14ac:dyDescent="0.25">
      <c r="A10" s="49"/>
      <c r="B10" s="34"/>
      <c r="C10" s="34"/>
      <c r="D10" s="34"/>
      <c r="E10" s="34"/>
      <c r="F10" s="34"/>
      <c r="G10" s="34"/>
      <c r="H10" s="33"/>
      <c r="I10" s="30"/>
      <c r="J10" s="30"/>
      <c r="K10" s="30"/>
      <c r="L10" s="42" t="s">
        <v>175</v>
      </c>
      <c r="M10" s="145"/>
    </row>
    <row r="11" spans="1:18" x14ac:dyDescent="0.25">
      <c r="A11" s="48" t="s">
        <v>181</v>
      </c>
      <c r="B11" s="39">
        <v>1442707</v>
      </c>
      <c r="C11" s="39" t="s">
        <v>145</v>
      </c>
      <c r="D11" s="39">
        <v>10011503</v>
      </c>
      <c r="E11" s="51" t="s">
        <v>131</v>
      </c>
      <c r="F11" s="39">
        <v>260200</v>
      </c>
      <c r="G11" s="39">
        <v>59860</v>
      </c>
      <c r="H11" s="38">
        <v>200340</v>
      </c>
      <c r="I11" s="41">
        <v>259950</v>
      </c>
      <c r="J11" s="41">
        <v>59750</v>
      </c>
      <c r="K11" s="40">
        <v>401</v>
      </c>
      <c r="L11" s="47" t="s">
        <v>125</v>
      </c>
      <c r="M11" s="145" t="s">
        <v>219</v>
      </c>
    </row>
    <row r="12" spans="1:18" x14ac:dyDescent="0.25">
      <c r="A12" s="49"/>
      <c r="B12" s="34"/>
      <c r="C12" s="34"/>
      <c r="D12" s="34"/>
      <c r="E12" s="34"/>
      <c r="F12" s="34"/>
      <c r="G12" s="34"/>
      <c r="H12" s="33"/>
      <c r="I12" s="32"/>
      <c r="J12" s="30"/>
      <c r="K12" s="30"/>
      <c r="L12" s="42" t="s">
        <v>175</v>
      </c>
      <c r="M12" s="145"/>
    </row>
    <row r="13" spans="1:18" x14ac:dyDescent="0.25">
      <c r="A13" s="48" t="s">
        <v>180</v>
      </c>
      <c r="B13" s="39">
        <v>1437334</v>
      </c>
      <c r="C13" s="39" t="s">
        <v>154</v>
      </c>
      <c r="D13" s="39">
        <v>10011509</v>
      </c>
      <c r="E13" s="51" t="s">
        <v>126</v>
      </c>
      <c r="F13" s="39">
        <v>258850</v>
      </c>
      <c r="G13" s="39">
        <v>59800</v>
      </c>
      <c r="H13" s="38">
        <v>199050</v>
      </c>
      <c r="I13" s="41">
        <v>257400</v>
      </c>
      <c r="J13" s="41">
        <v>59800</v>
      </c>
      <c r="K13" s="40">
        <v>504</v>
      </c>
      <c r="L13" s="47" t="s">
        <v>125</v>
      </c>
      <c r="M13" s="145" t="s">
        <v>219</v>
      </c>
    </row>
    <row r="14" spans="1:18" x14ac:dyDescent="0.25">
      <c r="A14" s="49"/>
      <c r="B14" s="34"/>
      <c r="C14" s="34"/>
      <c r="D14" s="34"/>
      <c r="E14" s="34"/>
      <c r="F14" s="34"/>
      <c r="G14" s="34"/>
      <c r="H14" s="33"/>
      <c r="I14" s="32"/>
      <c r="J14" s="30"/>
      <c r="K14" s="30"/>
      <c r="L14" s="42" t="s">
        <v>173</v>
      </c>
      <c r="M14" s="145"/>
    </row>
    <row r="15" spans="1:18" x14ac:dyDescent="0.25">
      <c r="A15" s="48" t="s">
        <v>179</v>
      </c>
      <c r="B15" s="39">
        <v>1442707</v>
      </c>
      <c r="C15" s="39" t="s">
        <v>145</v>
      </c>
      <c r="D15" s="39">
        <v>10011503</v>
      </c>
      <c r="E15" s="51" t="s">
        <v>131</v>
      </c>
      <c r="F15" s="39">
        <v>262700</v>
      </c>
      <c r="G15" s="39">
        <v>61900</v>
      </c>
      <c r="H15" s="38">
        <v>200800</v>
      </c>
      <c r="I15" s="41">
        <v>262400</v>
      </c>
      <c r="J15" s="41">
        <v>61750</v>
      </c>
      <c r="K15" s="40" t="s">
        <v>171</v>
      </c>
      <c r="L15" s="47" t="s">
        <v>125</v>
      </c>
      <c r="M15" s="145" t="s">
        <v>219</v>
      </c>
    </row>
    <row r="16" spans="1:18" x14ac:dyDescent="0.25">
      <c r="A16" s="49"/>
      <c r="B16" s="34"/>
      <c r="C16" s="34"/>
      <c r="D16" s="34"/>
      <c r="E16" s="31" t="s">
        <v>178</v>
      </c>
      <c r="F16" s="34"/>
      <c r="G16" s="34"/>
      <c r="H16" s="33"/>
      <c r="I16" s="32"/>
      <c r="J16" s="30"/>
      <c r="K16" s="30"/>
      <c r="L16" s="42" t="s">
        <v>175</v>
      </c>
      <c r="M16" s="145"/>
    </row>
    <row r="17" spans="1:13" x14ac:dyDescent="0.25">
      <c r="A17" s="48" t="s">
        <v>177</v>
      </c>
      <c r="B17" s="39">
        <v>1641256</v>
      </c>
      <c r="C17" s="39" t="s">
        <v>176</v>
      </c>
      <c r="D17" s="39">
        <v>10011509</v>
      </c>
      <c r="E17" s="51" t="s">
        <v>126</v>
      </c>
      <c r="F17" s="39">
        <v>260300</v>
      </c>
      <c r="G17" s="39">
        <v>54200</v>
      </c>
      <c r="H17" s="38">
        <v>206100</v>
      </c>
      <c r="I17" s="41">
        <v>258350</v>
      </c>
      <c r="J17" s="41">
        <v>53450</v>
      </c>
      <c r="K17" s="40">
        <v>504</v>
      </c>
      <c r="L17" s="47" t="s">
        <v>125</v>
      </c>
      <c r="M17" s="145" t="s">
        <v>219</v>
      </c>
    </row>
    <row r="18" spans="1:13" x14ac:dyDescent="0.25">
      <c r="A18" s="49"/>
      <c r="B18" s="34"/>
      <c r="C18" s="34"/>
      <c r="D18" s="34"/>
      <c r="E18" s="34"/>
      <c r="F18" s="34"/>
      <c r="G18" s="34"/>
      <c r="H18" s="33"/>
      <c r="I18" s="32"/>
      <c r="J18" s="30"/>
      <c r="K18" s="30"/>
      <c r="L18" s="42" t="s">
        <v>175</v>
      </c>
      <c r="M18" s="145"/>
    </row>
    <row r="19" spans="1:13" x14ac:dyDescent="0.25">
      <c r="A19" s="48" t="s">
        <v>174</v>
      </c>
      <c r="B19" s="39">
        <v>1326018</v>
      </c>
      <c r="C19" s="39" t="s">
        <v>141</v>
      </c>
      <c r="D19" s="39">
        <v>10011503</v>
      </c>
      <c r="E19" s="51" t="s">
        <v>131</v>
      </c>
      <c r="F19" s="39">
        <v>259500</v>
      </c>
      <c r="G19" s="39">
        <v>61600</v>
      </c>
      <c r="H19" s="38">
        <v>197900</v>
      </c>
      <c r="I19" s="41">
        <v>261600</v>
      </c>
      <c r="J19" s="41">
        <v>61200</v>
      </c>
      <c r="K19" s="40">
        <v>408</v>
      </c>
      <c r="L19" s="47" t="s">
        <v>125</v>
      </c>
      <c r="M19" s="145" t="s">
        <v>219</v>
      </c>
    </row>
    <row r="20" spans="1:13" ht="15.75" thickBot="1" x14ac:dyDescent="0.3">
      <c r="A20" s="46"/>
      <c r="B20" s="44"/>
      <c r="C20" s="44"/>
      <c r="D20" s="44"/>
      <c r="E20" s="44"/>
      <c r="F20" s="44"/>
      <c r="G20" s="44"/>
      <c r="H20" s="68"/>
      <c r="I20" s="43"/>
      <c r="J20" s="43"/>
      <c r="K20" s="69"/>
      <c r="L20" s="70" t="s">
        <v>173</v>
      </c>
      <c r="M20" s="145"/>
    </row>
    <row r="21" spans="1:13" x14ac:dyDescent="0.25">
      <c r="A21" s="55" t="s">
        <v>172</v>
      </c>
      <c r="B21" s="56">
        <v>1326018</v>
      </c>
      <c r="C21" s="56" t="s">
        <v>141</v>
      </c>
      <c r="D21" s="56">
        <v>10011503</v>
      </c>
      <c r="E21" s="79" t="s">
        <v>131</v>
      </c>
      <c r="F21" s="56">
        <v>254500</v>
      </c>
      <c r="G21" s="56">
        <v>69800</v>
      </c>
      <c r="H21" s="56">
        <v>184700</v>
      </c>
      <c r="I21" s="72">
        <v>256350</v>
      </c>
      <c r="J21" s="60">
        <v>68250</v>
      </c>
      <c r="K21" s="60" t="s">
        <v>171</v>
      </c>
      <c r="L21" s="73" t="s">
        <v>125</v>
      </c>
      <c r="M21" s="145" t="s">
        <v>219</v>
      </c>
    </row>
    <row r="22" spans="1:13" x14ac:dyDescent="0.25">
      <c r="A22" s="49"/>
      <c r="B22" s="34"/>
      <c r="C22" s="34"/>
      <c r="D22" s="34"/>
      <c r="E22" s="31" t="s">
        <v>170</v>
      </c>
      <c r="F22" s="34"/>
      <c r="G22" s="34"/>
      <c r="H22" s="34"/>
      <c r="I22" s="35"/>
      <c r="J22" s="30"/>
      <c r="K22" s="30"/>
      <c r="L22" s="63" t="s">
        <v>123</v>
      </c>
      <c r="M22" s="145"/>
    </row>
    <row r="23" spans="1:13" x14ac:dyDescent="0.25">
      <c r="A23" s="48" t="s">
        <v>169</v>
      </c>
      <c r="B23" s="39">
        <v>1325985</v>
      </c>
      <c r="C23" s="39" t="s">
        <v>141</v>
      </c>
      <c r="D23" s="39">
        <v>10011533</v>
      </c>
      <c r="E23" s="80" t="s">
        <v>140</v>
      </c>
      <c r="F23" s="39">
        <v>237800</v>
      </c>
      <c r="G23" s="39">
        <v>72700</v>
      </c>
      <c r="H23" s="39">
        <v>165100</v>
      </c>
      <c r="I23" s="50">
        <v>238650</v>
      </c>
      <c r="J23" s="40">
        <v>70750</v>
      </c>
      <c r="K23" s="40" t="s">
        <v>168</v>
      </c>
      <c r="L23" s="62" t="s">
        <v>125</v>
      </c>
      <c r="M23" s="145" t="s">
        <v>219</v>
      </c>
    </row>
    <row r="24" spans="1:13" ht="15.75" thickBot="1" x14ac:dyDescent="0.3">
      <c r="A24" s="46"/>
      <c r="B24" s="44"/>
      <c r="C24" s="44"/>
      <c r="D24" s="44"/>
      <c r="E24" s="45" t="s">
        <v>167</v>
      </c>
      <c r="F24" s="44"/>
      <c r="G24" s="44"/>
      <c r="H24" s="44"/>
      <c r="I24" s="74"/>
      <c r="J24" s="69"/>
      <c r="K24" s="69"/>
      <c r="L24" s="75" t="s">
        <v>123</v>
      </c>
      <c r="M24" s="145"/>
    </row>
    <row r="25" spans="1:13" x14ac:dyDescent="0.25">
      <c r="A25" s="55" t="s">
        <v>166</v>
      </c>
      <c r="B25" s="56">
        <v>1325995</v>
      </c>
      <c r="C25" s="56" t="s">
        <v>141</v>
      </c>
      <c r="D25" s="56">
        <v>10011669</v>
      </c>
      <c r="E25" s="79" t="s">
        <v>165</v>
      </c>
      <c r="F25" s="56">
        <v>249100</v>
      </c>
      <c r="G25" s="56">
        <v>68200</v>
      </c>
      <c r="H25" s="56">
        <v>180900</v>
      </c>
      <c r="I25" s="59">
        <v>249400</v>
      </c>
      <c r="J25" s="59">
        <v>66900</v>
      </c>
      <c r="K25" s="60" t="s">
        <v>164</v>
      </c>
      <c r="L25" s="73" t="s">
        <v>125</v>
      </c>
      <c r="M25" s="150" t="s">
        <v>218</v>
      </c>
    </row>
    <row r="26" spans="1:13" x14ac:dyDescent="0.25">
      <c r="A26" s="49"/>
      <c r="B26" s="34"/>
      <c r="C26" s="34"/>
      <c r="D26" s="34"/>
      <c r="E26" s="31" t="s">
        <v>163</v>
      </c>
      <c r="F26" s="34"/>
      <c r="G26" s="34"/>
      <c r="H26" s="34"/>
      <c r="I26" s="32"/>
      <c r="J26" s="32"/>
      <c r="K26" s="32"/>
      <c r="L26" s="63" t="s">
        <v>123</v>
      </c>
      <c r="M26" s="150"/>
    </row>
    <row r="27" spans="1:13" x14ac:dyDescent="0.25">
      <c r="A27" s="48" t="s">
        <v>162</v>
      </c>
      <c r="B27" s="39">
        <v>1640300</v>
      </c>
      <c r="C27" s="39" t="s">
        <v>154</v>
      </c>
      <c r="D27" s="39">
        <v>10011503</v>
      </c>
      <c r="E27" s="80" t="s">
        <v>131</v>
      </c>
      <c r="F27" s="39">
        <v>216000</v>
      </c>
      <c r="G27" s="39">
        <v>65200</v>
      </c>
      <c r="H27" s="39">
        <v>150800</v>
      </c>
      <c r="I27" s="41">
        <v>214750</v>
      </c>
      <c r="J27" s="41">
        <v>62000</v>
      </c>
      <c r="K27" s="40">
        <v>401</v>
      </c>
      <c r="L27" s="62" t="s">
        <v>125</v>
      </c>
      <c r="M27" s="150" t="s">
        <v>216</v>
      </c>
    </row>
    <row r="28" spans="1:13" x14ac:dyDescent="0.25">
      <c r="A28" s="49"/>
      <c r="B28" s="34"/>
      <c r="C28" s="34"/>
      <c r="D28" s="34"/>
      <c r="E28" s="34"/>
      <c r="F28" s="34"/>
      <c r="G28" s="34"/>
      <c r="H28" s="34"/>
      <c r="I28" s="32"/>
      <c r="J28" s="30"/>
      <c r="K28" s="30"/>
      <c r="L28" s="63" t="s">
        <v>123</v>
      </c>
      <c r="M28" s="150"/>
    </row>
    <row r="29" spans="1:13" x14ac:dyDescent="0.25">
      <c r="A29" s="48" t="s">
        <v>161</v>
      </c>
      <c r="B29" s="39">
        <v>1390356</v>
      </c>
      <c r="C29" s="39" t="s">
        <v>127</v>
      </c>
      <c r="D29" s="39">
        <v>10011509</v>
      </c>
      <c r="E29" s="80" t="s">
        <v>126</v>
      </c>
      <c r="F29" s="39">
        <v>259650</v>
      </c>
      <c r="G29" s="39">
        <v>62580</v>
      </c>
      <c r="H29" s="39">
        <v>197070</v>
      </c>
      <c r="I29" s="41">
        <v>260300</v>
      </c>
      <c r="J29" s="40">
        <v>63550</v>
      </c>
      <c r="K29" s="40" t="s">
        <v>157</v>
      </c>
      <c r="L29" s="62" t="s">
        <v>125</v>
      </c>
      <c r="M29" s="152" t="s">
        <v>217</v>
      </c>
    </row>
    <row r="30" spans="1:13" x14ac:dyDescent="0.25">
      <c r="A30" s="49"/>
      <c r="B30" s="34"/>
      <c r="C30" s="34"/>
      <c r="D30" s="34"/>
      <c r="E30" s="31" t="s">
        <v>156</v>
      </c>
      <c r="F30" s="34"/>
      <c r="G30" s="34"/>
      <c r="H30" s="34"/>
      <c r="I30" s="32"/>
      <c r="J30" s="32"/>
      <c r="K30" s="32"/>
      <c r="L30" s="63" t="s">
        <v>123</v>
      </c>
      <c r="M30" s="152"/>
    </row>
    <row r="31" spans="1:13" x14ac:dyDescent="0.25">
      <c r="A31" s="48" t="s">
        <v>160</v>
      </c>
      <c r="B31" s="39">
        <v>1437870</v>
      </c>
      <c r="C31" s="39" t="s">
        <v>159</v>
      </c>
      <c r="D31" s="39">
        <v>10011660</v>
      </c>
      <c r="E31" s="80" t="s">
        <v>153</v>
      </c>
      <c r="F31" s="39">
        <v>262300</v>
      </c>
      <c r="G31" s="39">
        <v>64380</v>
      </c>
      <c r="H31" s="39">
        <v>197920</v>
      </c>
      <c r="I31" s="41">
        <v>263050</v>
      </c>
      <c r="J31" s="41">
        <v>63700</v>
      </c>
      <c r="K31" s="40">
        <v>147</v>
      </c>
      <c r="L31" s="62" t="s">
        <v>125</v>
      </c>
      <c r="M31" s="150" t="s">
        <v>215</v>
      </c>
    </row>
    <row r="32" spans="1:13" x14ac:dyDescent="0.25">
      <c r="A32" s="49"/>
      <c r="B32" s="34"/>
      <c r="C32" s="34"/>
      <c r="D32" s="34"/>
      <c r="E32" s="34"/>
      <c r="F32" s="34"/>
      <c r="G32" s="34"/>
      <c r="H32" s="34"/>
      <c r="I32" s="32"/>
      <c r="J32" s="32"/>
      <c r="K32" s="32"/>
      <c r="L32" s="63" t="s">
        <v>123</v>
      </c>
      <c r="M32" s="150"/>
    </row>
    <row r="33" spans="1:13" x14ac:dyDescent="0.25">
      <c r="A33" s="48" t="s">
        <v>158</v>
      </c>
      <c r="B33" s="39">
        <v>1641253</v>
      </c>
      <c r="C33" s="39" t="s">
        <v>136</v>
      </c>
      <c r="D33" s="39">
        <v>10011509</v>
      </c>
      <c r="E33" s="80" t="s">
        <v>126</v>
      </c>
      <c r="F33" s="39">
        <v>213100</v>
      </c>
      <c r="G33" s="39">
        <v>76300</v>
      </c>
      <c r="H33" s="39">
        <v>136800</v>
      </c>
      <c r="I33" s="41">
        <v>220750</v>
      </c>
      <c r="J33" s="40">
        <v>78750</v>
      </c>
      <c r="K33" s="40" t="s">
        <v>157</v>
      </c>
      <c r="L33" s="62" t="s">
        <v>125</v>
      </c>
      <c r="M33" s="150" t="s">
        <v>214</v>
      </c>
    </row>
    <row r="34" spans="1:13" x14ac:dyDescent="0.25">
      <c r="A34" s="64"/>
      <c r="B34" s="34"/>
      <c r="C34" s="34"/>
      <c r="D34" s="34"/>
      <c r="E34" s="31" t="s">
        <v>156</v>
      </c>
      <c r="F34" s="34"/>
      <c r="G34" s="34"/>
      <c r="H34" s="34"/>
      <c r="I34" s="30" t="s">
        <v>135</v>
      </c>
      <c r="J34" s="32"/>
      <c r="K34" s="32"/>
      <c r="L34" s="63" t="s">
        <v>123</v>
      </c>
      <c r="M34" s="150"/>
    </row>
    <row r="35" spans="1:13" x14ac:dyDescent="0.25">
      <c r="A35" s="48" t="s">
        <v>155</v>
      </c>
      <c r="B35" s="39">
        <v>1647024</v>
      </c>
      <c r="C35" s="39" t="s">
        <v>154</v>
      </c>
      <c r="D35" s="39">
        <v>10011660</v>
      </c>
      <c r="E35" s="80" t="s">
        <v>153</v>
      </c>
      <c r="F35" s="39">
        <v>261600</v>
      </c>
      <c r="G35" s="39">
        <v>72500</v>
      </c>
      <c r="H35" s="39">
        <v>189100</v>
      </c>
      <c r="I35" s="41">
        <v>251100</v>
      </c>
      <c r="J35" s="41">
        <v>66300</v>
      </c>
      <c r="K35" s="40">
        <v>147</v>
      </c>
      <c r="L35" s="62" t="s">
        <v>125</v>
      </c>
      <c r="M35" s="150" t="s">
        <v>213</v>
      </c>
    </row>
    <row r="36" spans="1:13" ht="15.75" thickBot="1" x14ac:dyDescent="0.3">
      <c r="A36" s="76"/>
      <c r="B36" s="44"/>
      <c r="C36" s="44"/>
      <c r="D36" s="44"/>
      <c r="E36" s="44"/>
      <c r="F36" s="44"/>
      <c r="G36" s="44"/>
      <c r="H36" s="44"/>
      <c r="I36" s="69" t="s">
        <v>135</v>
      </c>
      <c r="J36" s="43"/>
      <c r="K36" s="43"/>
      <c r="L36" s="75" t="s">
        <v>123</v>
      </c>
      <c r="M36" s="150"/>
    </row>
    <row r="37" spans="1:13" x14ac:dyDescent="0.25">
      <c r="A37" s="55" t="s">
        <v>152</v>
      </c>
      <c r="B37" s="56">
        <v>1326018</v>
      </c>
      <c r="C37" s="56" t="s">
        <v>141</v>
      </c>
      <c r="D37" s="56">
        <v>10011503</v>
      </c>
      <c r="E37" s="79" t="s">
        <v>131</v>
      </c>
      <c r="F37" s="56">
        <v>247400</v>
      </c>
      <c r="G37" s="56">
        <v>67200</v>
      </c>
      <c r="H37" s="56">
        <v>180200</v>
      </c>
      <c r="I37" s="59">
        <v>248400</v>
      </c>
      <c r="J37" s="59">
        <v>69700</v>
      </c>
      <c r="K37" s="60">
        <v>401</v>
      </c>
      <c r="L37" s="61" t="s">
        <v>125</v>
      </c>
      <c r="M37" s="150" t="s">
        <v>212</v>
      </c>
    </row>
    <row r="38" spans="1:13" x14ac:dyDescent="0.25">
      <c r="A38" s="49"/>
      <c r="B38" s="34"/>
      <c r="C38" s="34"/>
      <c r="D38" s="34"/>
      <c r="E38" s="34"/>
      <c r="F38" s="34"/>
      <c r="G38" s="34"/>
      <c r="H38" s="34"/>
      <c r="I38" s="32"/>
      <c r="J38" s="32"/>
      <c r="K38" s="32"/>
      <c r="L38" s="42" t="s">
        <v>123</v>
      </c>
      <c r="M38" s="150"/>
    </row>
    <row r="39" spans="1:13" x14ac:dyDescent="0.25">
      <c r="A39" s="48" t="s">
        <v>151</v>
      </c>
      <c r="B39" s="39">
        <v>1326015</v>
      </c>
      <c r="C39" s="39" t="s">
        <v>141</v>
      </c>
      <c r="D39" s="39">
        <v>10011558</v>
      </c>
      <c r="E39" s="80" t="s">
        <v>149</v>
      </c>
      <c r="F39" s="39">
        <v>240300</v>
      </c>
      <c r="G39" s="39">
        <v>69600</v>
      </c>
      <c r="H39" s="39">
        <v>170700</v>
      </c>
      <c r="I39" s="41">
        <v>241750</v>
      </c>
      <c r="J39" s="78">
        <v>71300</v>
      </c>
      <c r="K39" s="40">
        <v>606</v>
      </c>
      <c r="L39" s="47" t="s">
        <v>125</v>
      </c>
      <c r="M39" s="150" t="s">
        <v>211</v>
      </c>
    </row>
    <row r="40" spans="1:13" x14ac:dyDescent="0.25">
      <c r="A40" s="49"/>
      <c r="B40" s="34"/>
      <c r="C40" s="34"/>
      <c r="D40" s="34"/>
      <c r="E40" s="34"/>
      <c r="F40" s="34"/>
      <c r="G40" s="34"/>
      <c r="H40" s="34"/>
      <c r="I40" s="32"/>
      <c r="J40" s="32"/>
      <c r="K40" s="32"/>
      <c r="L40" s="42" t="s">
        <v>123</v>
      </c>
      <c r="M40" s="150"/>
    </row>
    <row r="41" spans="1:13" x14ac:dyDescent="0.25">
      <c r="A41" s="48" t="s">
        <v>150</v>
      </c>
      <c r="B41" s="39">
        <v>1326015</v>
      </c>
      <c r="C41" s="39" t="s">
        <v>141</v>
      </c>
      <c r="D41" s="39">
        <v>10011558</v>
      </c>
      <c r="E41" s="80" t="s">
        <v>149</v>
      </c>
      <c r="F41" s="39">
        <v>241600</v>
      </c>
      <c r="G41" s="39">
        <v>63900</v>
      </c>
      <c r="H41" s="39">
        <v>177700</v>
      </c>
      <c r="I41" s="41">
        <v>242000</v>
      </c>
      <c r="J41" s="41">
        <v>56950</v>
      </c>
      <c r="K41" s="40">
        <v>144</v>
      </c>
      <c r="L41" s="47" t="s">
        <v>125</v>
      </c>
      <c r="M41" s="150" t="s">
        <v>210</v>
      </c>
    </row>
    <row r="42" spans="1:13" x14ac:dyDescent="0.25">
      <c r="A42" s="49"/>
      <c r="B42" s="34"/>
      <c r="C42" s="34"/>
      <c r="D42" s="34"/>
      <c r="E42" s="31" t="s">
        <v>148</v>
      </c>
      <c r="F42" s="34"/>
      <c r="G42" s="34"/>
      <c r="H42" s="34"/>
      <c r="I42" s="32"/>
      <c r="J42" s="32"/>
      <c r="K42" s="32"/>
      <c r="L42" s="42" t="s">
        <v>123</v>
      </c>
      <c r="M42" s="150"/>
    </row>
    <row r="43" spans="1:13" x14ac:dyDescent="0.25">
      <c r="A43" s="48" t="s">
        <v>147</v>
      </c>
      <c r="B43" s="39">
        <v>1326018</v>
      </c>
      <c r="C43" s="39" t="s">
        <v>141</v>
      </c>
      <c r="D43" s="39">
        <v>10011503</v>
      </c>
      <c r="E43" s="80" t="s">
        <v>131</v>
      </c>
      <c r="F43" s="39">
        <v>249700</v>
      </c>
      <c r="G43" s="39">
        <v>64200</v>
      </c>
      <c r="H43" s="39">
        <v>185500</v>
      </c>
      <c r="I43" s="41">
        <v>250350</v>
      </c>
      <c r="J43" s="41">
        <v>59950</v>
      </c>
      <c r="K43" s="40">
        <v>401</v>
      </c>
      <c r="L43" s="47" t="s">
        <v>125</v>
      </c>
      <c r="M43" s="150" t="s">
        <v>209</v>
      </c>
    </row>
    <row r="44" spans="1:13" x14ac:dyDescent="0.25">
      <c r="A44" s="49"/>
      <c r="B44" s="34"/>
      <c r="C44" s="34"/>
      <c r="D44" s="34"/>
      <c r="E44" s="34"/>
      <c r="F44" s="34"/>
      <c r="G44" s="34"/>
      <c r="H44" s="34"/>
      <c r="I44" s="32"/>
      <c r="J44" s="32"/>
      <c r="K44" s="32"/>
      <c r="L44" s="42" t="s">
        <v>123</v>
      </c>
      <c r="M44" s="150"/>
    </row>
    <row r="45" spans="1:13" x14ac:dyDescent="0.25">
      <c r="A45" s="48" t="s">
        <v>146</v>
      </c>
      <c r="B45" s="39">
        <v>1442707</v>
      </c>
      <c r="C45" s="39" t="s">
        <v>145</v>
      </c>
      <c r="D45" s="39">
        <v>10011503</v>
      </c>
      <c r="E45" s="80" t="s">
        <v>131</v>
      </c>
      <c r="F45" s="39">
        <v>260500</v>
      </c>
      <c r="G45" s="39">
        <v>63400</v>
      </c>
      <c r="H45" s="39">
        <v>197100</v>
      </c>
      <c r="I45" s="41">
        <v>261000</v>
      </c>
      <c r="J45" s="41">
        <v>63000</v>
      </c>
      <c r="K45" s="40" t="s">
        <v>144</v>
      </c>
      <c r="L45" s="47" t="s">
        <v>125</v>
      </c>
      <c r="M45" s="150" t="s">
        <v>208</v>
      </c>
    </row>
    <row r="46" spans="1:13" x14ac:dyDescent="0.25">
      <c r="A46" s="49"/>
      <c r="B46" s="34"/>
      <c r="C46" s="34"/>
      <c r="D46" s="34"/>
      <c r="E46" s="31" t="s">
        <v>143</v>
      </c>
      <c r="F46" s="34"/>
      <c r="G46" s="34"/>
      <c r="H46" s="34"/>
      <c r="I46" s="32"/>
      <c r="J46" s="32"/>
      <c r="K46" s="32"/>
      <c r="L46" s="42" t="s">
        <v>123</v>
      </c>
      <c r="M46" s="150"/>
    </row>
    <row r="47" spans="1:13" x14ac:dyDescent="0.25">
      <c r="A47" s="48" t="s">
        <v>142</v>
      </c>
      <c r="B47" s="39">
        <v>1325985</v>
      </c>
      <c r="C47" s="39" t="s">
        <v>141</v>
      </c>
      <c r="D47" s="39">
        <v>10011533</v>
      </c>
      <c r="E47" s="80" t="s">
        <v>140</v>
      </c>
      <c r="F47" s="39">
        <v>259100</v>
      </c>
      <c r="G47" s="39">
        <v>68600</v>
      </c>
      <c r="H47" s="39">
        <v>190500</v>
      </c>
      <c r="I47" s="41">
        <v>260400</v>
      </c>
      <c r="J47" s="41">
        <v>67300</v>
      </c>
      <c r="K47" s="40" t="s">
        <v>139</v>
      </c>
      <c r="L47" s="47" t="s">
        <v>125</v>
      </c>
      <c r="M47" s="150" t="s">
        <v>207</v>
      </c>
    </row>
    <row r="48" spans="1:13" ht="15.75" thickBot="1" x14ac:dyDescent="0.3">
      <c r="A48" s="46"/>
      <c r="B48" s="44"/>
      <c r="C48" s="44"/>
      <c r="D48" s="44"/>
      <c r="E48" s="45" t="s">
        <v>138</v>
      </c>
      <c r="F48" s="44"/>
      <c r="G48" s="44"/>
      <c r="H48" s="44"/>
      <c r="I48" s="43"/>
      <c r="J48" s="43"/>
      <c r="K48" s="43"/>
      <c r="L48" s="70" t="s">
        <v>123</v>
      </c>
      <c r="M48" s="150"/>
    </row>
    <row r="49" spans="1:13" x14ac:dyDescent="0.25">
      <c r="A49" s="55" t="s">
        <v>137</v>
      </c>
      <c r="B49" s="56">
        <v>1631154</v>
      </c>
      <c r="C49" s="56" t="s">
        <v>136</v>
      </c>
      <c r="D49" s="56">
        <v>10011509</v>
      </c>
      <c r="E49" s="79" t="s">
        <v>126</v>
      </c>
      <c r="F49" s="56">
        <v>250200</v>
      </c>
      <c r="G49" s="56">
        <v>77600</v>
      </c>
      <c r="H49" s="58">
        <v>172600</v>
      </c>
      <c r="I49" s="59">
        <v>276450</v>
      </c>
      <c r="J49" s="60">
        <v>82500</v>
      </c>
      <c r="K49" s="60">
        <v>504</v>
      </c>
      <c r="L49" s="61" t="s">
        <v>125</v>
      </c>
      <c r="M49" s="150" t="s">
        <v>206</v>
      </c>
    </row>
    <row r="50" spans="1:13" ht="15.75" thickBot="1" x14ac:dyDescent="0.3">
      <c r="A50" s="77"/>
      <c r="B50" s="44"/>
      <c r="C50" s="44"/>
      <c r="D50" s="44"/>
      <c r="E50" s="44"/>
      <c r="F50" s="44"/>
      <c r="G50" s="44"/>
      <c r="H50" s="68"/>
      <c r="I50" s="69" t="s">
        <v>135</v>
      </c>
      <c r="J50" s="43"/>
      <c r="K50" s="43"/>
      <c r="L50" s="70" t="s">
        <v>123</v>
      </c>
      <c r="M50" s="150"/>
    </row>
    <row r="51" spans="1:13" x14ac:dyDescent="0.25">
      <c r="A51" s="55" t="s">
        <v>134</v>
      </c>
      <c r="B51" s="56">
        <v>1390356</v>
      </c>
      <c r="C51" s="56" t="s">
        <v>127</v>
      </c>
      <c r="D51" s="56">
        <v>10011509</v>
      </c>
      <c r="E51" s="79" t="s">
        <v>126</v>
      </c>
      <c r="F51" s="56">
        <v>285450</v>
      </c>
      <c r="G51" s="56">
        <v>65280</v>
      </c>
      <c r="H51" s="56">
        <v>220170</v>
      </c>
      <c r="I51" s="59">
        <v>284600</v>
      </c>
      <c r="J51" s="59">
        <v>66250</v>
      </c>
      <c r="K51" s="60">
        <v>504</v>
      </c>
      <c r="L51" s="61" t="s">
        <v>125</v>
      </c>
      <c r="M51" s="150" t="s">
        <v>205</v>
      </c>
    </row>
    <row r="52" spans="1:13" x14ac:dyDescent="0.25">
      <c r="A52" s="49"/>
      <c r="B52" s="34"/>
      <c r="C52" s="31" t="s">
        <v>124</v>
      </c>
      <c r="D52" s="31" t="s">
        <v>200</v>
      </c>
      <c r="E52" s="34"/>
      <c r="F52" s="34"/>
      <c r="G52" s="34"/>
      <c r="H52" s="34"/>
      <c r="I52" s="32"/>
      <c r="J52" s="30"/>
      <c r="K52" s="30"/>
      <c r="L52" s="42" t="s">
        <v>198</v>
      </c>
      <c r="M52" s="150"/>
    </row>
    <row r="53" spans="1:13" x14ac:dyDescent="0.25">
      <c r="A53" s="48" t="s">
        <v>133</v>
      </c>
      <c r="B53" s="39">
        <v>1390362</v>
      </c>
      <c r="C53" s="39" t="s">
        <v>132</v>
      </c>
      <c r="D53" s="39">
        <v>10011503</v>
      </c>
      <c r="E53" s="80" t="s">
        <v>131</v>
      </c>
      <c r="F53" s="39">
        <v>259100</v>
      </c>
      <c r="G53" s="39">
        <v>60500</v>
      </c>
      <c r="H53" s="39">
        <v>198600</v>
      </c>
      <c r="I53" s="41">
        <v>258650</v>
      </c>
      <c r="J53" s="41">
        <v>61400</v>
      </c>
      <c r="K53" s="40" t="s">
        <v>130</v>
      </c>
      <c r="L53" s="47" t="s">
        <v>125</v>
      </c>
      <c r="M53" s="150" t="s">
        <v>204</v>
      </c>
    </row>
    <row r="54" spans="1:13" ht="15.75" thickBot="1" x14ac:dyDescent="0.3">
      <c r="A54" s="46"/>
      <c r="B54" s="44"/>
      <c r="C54" s="45" t="s">
        <v>124</v>
      </c>
      <c r="D54" s="45" t="s">
        <v>200</v>
      </c>
      <c r="E54" s="45" t="s">
        <v>199</v>
      </c>
      <c r="F54" s="44"/>
      <c r="G54" s="44"/>
      <c r="H54" s="44"/>
      <c r="I54" s="43"/>
      <c r="J54" s="69"/>
      <c r="K54" s="69"/>
      <c r="L54" s="70" t="s">
        <v>198</v>
      </c>
      <c r="M54" s="150"/>
    </row>
    <row r="55" spans="1:13" x14ac:dyDescent="0.25">
      <c r="A55" s="65" t="s">
        <v>129</v>
      </c>
      <c r="B55" s="71">
        <v>1390356</v>
      </c>
      <c r="C55" s="71" t="s">
        <v>127</v>
      </c>
      <c r="D55" s="71">
        <v>10011509</v>
      </c>
      <c r="E55" s="81" t="s">
        <v>126</v>
      </c>
      <c r="F55" s="71">
        <v>261300</v>
      </c>
      <c r="G55" s="71">
        <v>62160</v>
      </c>
      <c r="H55" s="52">
        <v>199140</v>
      </c>
      <c r="I55" s="37">
        <v>261450</v>
      </c>
      <c r="J55" s="67">
        <v>62400</v>
      </c>
      <c r="K55" s="36">
        <v>504</v>
      </c>
      <c r="L55" s="66" t="s">
        <v>125</v>
      </c>
      <c r="M55" s="150" t="s">
        <v>203</v>
      </c>
    </row>
    <row r="56" spans="1:13" x14ac:dyDescent="0.25">
      <c r="A56" s="49"/>
      <c r="B56" s="34"/>
      <c r="C56" s="31" t="s">
        <v>124</v>
      </c>
      <c r="D56" s="31" t="s">
        <v>200</v>
      </c>
      <c r="E56" s="34"/>
      <c r="F56" s="34"/>
      <c r="G56" s="34"/>
      <c r="H56" s="33"/>
      <c r="I56" s="32"/>
      <c r="J56" s="31"/>
      <c r="K56" s="30"/>
      <c r="L56" s="42" t="s">
        <v>198</v>
      </c>
      <c r="M56" s="150"/>
    </row>
    <row r="57" spans="1:13" x14ac:dyDescent="0.25">
      <c r="A57" s="48" t="s">
        <v>128</v>
      </c>
      <c r="B57" s="39">
        <v>1390356</v>
      </c>
      <c r="C57" s="39" t="s">
        <v>127</v>
      </c>
      <c r="D57" s="39">
        <v>10011509</v>
      </c>
      <c r="E57" s="80" t="s">
        <v>126</v>
      </c>
      <c r="F57" s="39">
        <v>259400</v>
      </c>
      <c r="G57" s="39">
        <v>59720</v>
      </c>
      <c r="H57" s="38">
        <v>199680</v>
      </c>
      <c r="I57" s="37">
        <v>259150</v>
      </c>
      <c r="J57" s="67">
        <v>59900</v>
      </c>
      <c r="K57" s="36">
        <v>504</v>
      </c>
      <c r="L57" s="47" t="s">
        <v>125</v>
      </c>
      <c r="M57" s="150" t="s">
        <v>202</v>
      </c>
    </row>
    <row r="58" spans="1:13" ht="15.75" thickBot="1" x14ac:dyDescent="0.3">
      <c r="A58" s="46"/>
      <c r="B58" s="44"/>
      <c r="C58" s="45" t="s">
        <v>124</v>
      </c>
      <c r="D58" s="45" t="s">
        <v>200</v>
      </c>
      <c r="E58" s="44"/>
      <c r="F58" s="44"/>
      <c r="G58" s="44"/>
      <c r="H58" s="68"/>
      <c r="I58" s="43"/>
      <c r="J58" s="45"/>
      <c r="K58" s="69"/>
      <c r="L58" s="70" t="s">
        <v>198</v>
      </c>
      <c r="M58" s="150"/>
    </row>
    <row r="59" spans="1:13" x14ac:dyDescent="0.25">
      <c r="A59" s="83" t="s">
        <v>317</v>
      </c>
      <c r="B59" s="84">
        <v>1326018</v>
      </c>
      <c r="C59" s="84" t="s">
        <v>141</v>
      </c>
      <c r="D59" s="56">
        <v>10011503</v>
      </c>
      <c r="E59" s="79" t="s">
        <v>131</v>
      </c>
      <c r="F59" s="56">
        <v>253500</v>
      </c>
      <c r="G59" s="56">
        <v>69000</v>
      </c>
      <c r="H59" s="58">
        <v>184500</v>
      </c>
      <c r="I59" s="85">
        <v>254050</v>
      </c>
      <c r="J59" s="59">
        <v>69950</v>
      </c>
      <c r="K59" s="60">
        <v>408</v>
      </c>
      <c r="L59" s="61" t="s">
        <v>125</v>
      </c>
      <c r="M59" s="144"/>
    </row>
    <row r="60" spans="1:13" x14ac:dyDescent="0.25">
      <c r="A60" s="86"/>
      <c r="B60" s="87"/>
      <c r="C60" s="88" t="s">
        <v>318</v>
      </c>
      <c r="D60" s="88" t="s">
        <v>319</v>
      </c>
      <c r="E60" s="114"/>
      <c r="F60" s="34"/>
      <c r="G60" s="34"/>
      <c r="H60" s="33"/>
      <c r="I60" s="89"/>
      <c r="J60" s="90"/>
      <c r="K60" s="90"/>
      <c r="L60" s="42" t="s">
        <v>320</v>
      </c>
      <c r="M60" s="144"/>
    </row>
    <row r="61" spans="1:13" x14ac:dyDescent="0.25">
      <c r="A61" s="91" t="s">
        <v>321</v>
      </c>
      <c r="B61" s="92">
        <v>1326018</v>
      </c>
      <c r="C61" s="92" t="s">
        <v>141</v>
      </c>
      <c r="D61" s="39">
        <v>10011503</v>
      </c>
      <c r="E61" s="80" t="s">
        <v>131</v>
      </c>
      <c r="F61" s="39">
        <v>229700</v>
      </c>
      <c r="G61" s="39">
        <v>64200</v>
      </c>
      <c r="H61" s="38">
        <v>165500</v>
      </c>
      <c r="I61" s="93">
        <v>230000</v>
      </c>
      <c r="J61" s="41">
        <v>60850</v>
      </c>
      <c r="K61" s="40">
        <v>408</v>
      </c>
      <c r="L61" s="47" t="s">
        <v>125</v>
      </c>
      <c r="M61" s="144"/>
    </row>
    <row r="62" spans="1:13" x14ac:dyDescent="0.25">
      <c r="A62" s="86"/>
      <c r="B62" s="87"/>
      <c r="C62" s="88" t="s">
        <v>318</v>
      </c>
      <c r="D62" s="88" t="s">
        <v>322</v>
      </c>
      <c r="E62" s="114"/>
      <c r="F62" s="34"/>
      <c r="G62" s="34"/>
      <c r="H62" s="33"/>
      <c r="I62" s="35"/>
      <c r="J62" s="32"/>
      <c r="K62" s="32"/>
      <c r="L62" s="42" t="s">
        <v>323</v>
      </c>
      <c r="M62" s="144"/>
    </row>
    <row r="63" spans="1:13" x14ac:dyDescent="0.25">
      <c r="A63" s="91" t="s">
        <v>324</v>
      </c>
      <c r="B63" s="92">
        <v>1325985</v>
      </c>
      <c r="C63" s="92" t="s">
        <v>141</v>
      </c>
      <c r="D63" s="39">
        <v>10011533</v>
      </c>
      <c r="E63" s="80" t="s">
        <v>140</v>
      </c>
      <c r="F63" s="39">
        <v>238400</v>
      </c>
      <c r="G63" s="39">
        <v>63900</v>
      </c>
      <c r="H63" s="38">
        <v>174500</v>
      </c>
      <c r="I63" s="94">
        <v>238900</v>
      </c>
      <c r="J63" s="41">
        <v>58150</v>
      </c>
      <c r="K63" s="40">
        <v>155</v>
      </c>
      <c r="L63" s="47" t="s">
        <v>125</v>
      </c>
      <c r="M63" s="144"/>
    </row>
    <row r="64" spans="1:13" x14ac:dyDescent="0.25">
      <c r="A64" s="86"/>
      <c r="B64" s="87"/>
      <c r="C64" s="88" t="s">
        <v>318</v>
      </c>
      <c r="D64" s="88" t="s">
        <v>319</v>
      </c>
      <c r="E64" s="114"/>
      <c r="F64" s="34"/>
      <c r="G64" s="34"/>
      <c r="H64" s="33"/>
      <c r="I64" s="35"/>
      <c r="J64" s="32"/>
      <c r="K64" s="32"/>
      <c r="L64" s="42" t="s">
        <v>323</v>
      </c>
      <c r="M64" s="144"/>
    </row>
    <row r="65" spans="1:13" x14ac:dyDescent="0.25">
      <c r="A65" s="91" t="s">
        <v>325</v>
      </c>
      <c r="B65" s="92">
        <v>1326015</v>
      </c>
      <c r="C65" s="92" t="s">
        <v>141</v>
      </c>
      <c r="D65" s="39">
        <v>10011558</v>
      </c>
      <c r="E65" s="80" t="s">
        <v>326</v>
      </c>
      <c r="F65" s="39">
        <v>224300</v>
      </c>
      <c r="G65" s="39">
        <v>68900</v>
      </c>
      <c r="H65" s="38">
        <v>155400</v>
      </c>
      <c r="I65" s="93">
        <v>224500</v>
      </c>
      <c r="J65" s="41">
        <v>58600</v>
      </c>
      <c r="K65" s="40">
        <v>606</v>
      </c>
      <c r="L65" s="47" t="s">
        <v>125</v>
      </c>
      <c r="M65" s="144"/>
    </row>
    <row r="66" spans="1:13" x14ac:dyDescent="0.25">
      <c r="A66" s="86"/>
      <c r="B66" s="87"/>
      <c r="C66" s="88" t="s">
        <v>318</v>
      </c>
      <c r="D66" s="88" t="s">
        <v>322</v>
      </c>
      <c r="E66" s="114"/>
      <c r="F66" s="34"/>
      <c r="G66" s="34"/>
      <c r="H66" s="33"/>
      <c r="I66" s="35"/>
      <c r="J66" s="32"/>
      <c r="K66" s="32"/>
      <c r="L66" s="42" t="s">
        <v>323</v>
      </c>
      <c r="M66" s="144"/>
    </row>
    <row r="67" spans="1:13" x14ac:dyDescent="0.25">
      <c r="A67" s="91" t="s">
        <v>327</v>
      </c>
      <c r="B67" s="92">
        <v>1325985</v>
      </c>
      <c r="C67" s="92" t="s">
        <v>141</v>
      </c>
      <c r="D67" s="39">
        <v>10011533</v>
      </c>
      <c r="E67" s="80" t="s">
        <v>140</v>
      </c>
      <c r="F67" s="39">
        <v>279200</v>
      </c>
      <c r="G67" s="39">
        <v>66600</v>
      </c>
      <c r="H67" s="38">
        <v>212600</v>
      </c>
      <c r="I67" s="93">
        <v>279700</v>
      </c>
      <c r="J67" s="41">
        <v>71450</v>
      </c>
      <c r="K67" s="40">
        <v>155</v>
      </c>
      <c r="L67" s="47" t="s">
        <v>125</v>
      </c>
      <c r="M67" s="144"/>
    </row>
    <row r="68" spans="1:13" x14ac:dyDescent="0.25">
      <c r="A68" s="86"/>
      <c r="B68" s="87"/>
      <c r="C68" s="88" t="s">
        <v>318</v>
      </c>
      <c r="D68" s="88" t="s">
        <v>328</v>
      </c>
      <c r="E68" s="114"/>
      <c r="F68" s="34"/>
      <c r="G68" s="34"/>
      <c r="H68" s="33"/>
      <c r="I68" s="35"/>
      <c r="J68" s="32"/>
      <c r="K68" s="32"/>
      <c r="L68" s="42" t="s">
        <v>320</v>
      </c>
      <c r="M68" s="144"/>
    </row>
    <row r="69" spans="1:13" x14ac:dyDescent="0.25">
      <c r="A69" s="91" t="s">
        <v>329</v>
      </c>
      <c r="B69" s="92">
        <v>1326018</v>
      </c>
      <c r="C69" s="92" t="s">
        <v>141</v>
      </c>
      <c r="D69" s="39">
        <v>10011503</v>
      </c>
      <c r="E69" s="80" t="s">
        <v>131</v>
      </c>
      <c r="F69" s="39">
        <v>251800</v>
      </c>
      <c r="G69" s="39">
        <v>67200</v>
      </c>
      <c r="H69" s="38">
        <v>184600</v>
      </c>
      <c r="I69" s="93">
        <v>252500</v>
      </c>
      <c r="J69" s="41">
        <v>68000</v>
      </c>
      <c r="K69" s="40">
        <v>401</v>
      </c>
      <c r="L69" s="47" t="s">
        <v>125</v>
      </c>
      <c r="M69" s="144"/>
    </row>
    <row r="70" spans="1:13" x14ac:dyDescent="0.25">
      <c r="A70" s="86"/>
      <c r="B70" s="87"/>
      <c r="C70" s="88" t="s">
        <v>318</v>
      </c>
      <c r="D70" s="88" t="s">
        <v>328</v>
      </c>
      <c r="E70" s="114"/>
      <c r="F70" s="34"/>
      <c r="G70" s="34"/>
      <c r="H70" s="33"/>
      <c r="I70" s="35"/>
      <c r="J70" s="32"/>
      <c r="K70" s="32"/>
      <c r="L70" s="42" t="s">
        <v>320</v>
      </c>
      <c r="M70" s="144"/>
    </row>
    <row r="71" spans="1:13" x14ac:dyDescent="0.25">
      <c r="A71" s="91" t="s">
        <v>330</v>
      </c>
      <c r="B71" s="92">
        <v>1640300</v>
      </c>
      <c r="C71" s="92" t="s">
        <v>154</v>
      </c>
      <c r="D71" s="39">
        <v>10011503</v>
      </c>
      <c r="E71" s="80" t="s">
        <v>131</v>
      </c>
      <c r="F71" s="39">
        <v>275400</v>
      </c>
      <c r="G71" s="39">
        <v>74700</v>
      </c>
      <c r="H71" s="38">
        <v>200700</v>
      </c>
      <c r="I71" s="93">
        <v>272200</v>
      </c>
      <c r="J71" s="41">
        <v>73750</v>
      </c>
      <c r="K71" s="40">
        <v>401</v>
      </c>
      <c r="L71" s="47" t="s">
        <v>125</v>
      </c>
      <c r="M71" s="144"/>
    </row>
    <row r="72" spans="1:13" x14ac:dyDescent="0.25">
      <c r="A72" s="86"/>
      <c r="B72" s="87"/>
      <c r="C72" s="88" t="s">
        <v>331</v>
      </c>
      <c r="D72" s="88" t="s">
        <v>332</v>
      </c>
      <c r="E72" s="114"/>
      <c r="F72" s="34"/>
      <c r="G72" s="34"/>
      <c r="H72" s="33"/>
      <c r="I72" s="35"/>
      <c r="J72" s="32"/>
      <c r="K72" s="32"/>
      <c r="L72" s="42" t="s">
        <v>320</v>
      </c>
      <c r="M72" s="144"/>
    </row>
    <row r="73" spans="1:13" x14ac:dyDescent="0.25">
      <c r="A73" s="91" t="s">
        <v>333</v>
      </c>
      <c r="B73" s="92">
        <v>1437870</v>
      </c>
      <c r="C73" s="92" t="s">
        <v>159</v>
      </c>
      <c r="D73" s="39">
        <v>10011660</v>
      </c>
      <c r="E73" s="80" t="s">
        <v>153</v>
      </c>
      <c r="F73" s="39">
        <v>261550</v>
      </c>
      <c r="G73" s="39">
        <v>60200</v>
      </c>
      <c r="H73" s="38">
        <v>201350</v>
      </c>
      <c r="I73" s="93">
        <v>261400</v>
      </c>
      <c r="J73" s="41">
        <v>59800</v>
      </c>
      <c r="K73" s="40" t="s">
        <v>334</v>
      </c>
      <c r="L73" s="47" t="s">
        <v>125</v>
      </c>
      <c r="M73" s="144"/>
    </row>
    <row r="74" spans="1:13" x14ac:dyDescent="0.25">
      <c r="A74" s="86"/>
      <c r="B74" s="87"/>
      <c r="C74" s="88" t="s">
        <v>124</v>
      </c>
      <c r="D74" s="88" t="s">
        <v>200</v>
      </c>
      <c r="E74" s="31" t="s">
        <v>335</v>
      </c>
      <c r="F74" s="34"/>
      <c r="G74" s="34"/>
      <c r="H74" s="33"/>
      <c r="I74" s="35"/>
      <c r="J74" s="32"/>
      <c r="K74" s="32"/>
      <c r="L74" s="42" t="s">
        <v>320</v>
      </c>
      <c r="M74" s="144"/>
    </row>
    <row r="75" spans="1:13" x14ac:dyDescent="0.25">
      <c r="A75" s="91" t="s">
        <v>336</v>
      </c>
      <c r="B75" s="92">
        <v>1648815</v>
      </c>
      <c r="C75" s="92" t="s">
        <v>337</v>
      </c>
      <c r="D75" s="39">
        <v>10011509</v>
      </c>
      <c r="E75" s="80" t="s">
        <v>126</v>
      </c>
      <c r="F75" s="39">
        <v>258800</v>
      </c>
      <c r="G75" s="39">
        <v>59860</v>
      </c>
      <c r="H75" s="38">
        <v>198940</v>
      </c>
      <c r="I75" s="93">
        <v>258850</v>
      </c>
      <c r="J75" s="41">
        <v>60250</v>
      </c>
      <c r="K75" s="40">
        <v>504</v>
      </c>
      <c r="L75" s="47" t="s">
        <v>125</v>
      </c>
      <c r="M75" s="144"/>
    </row>
    <row r="76" spans="1:13" x14ac:dyDescent="0.25">
      <c r="A76" s="86"/>
      <c r="B76" s="87"/>
      <c r="C76" s="88" t="s">
        <v>124</v>
      </c>
      <c r="D76" s="88" t="s">
        <v>200</v>
      </c>
      <c r="E76" s="114"/>
      <c r="F76" s="34"/>
      <c r="G76" s="34"/>
      <c r="H76" s="33"/>
      <c r="I76" s="35"/>
      <c r="J76" s="32"/>
      <c r="K76" s="32"/>
      <c r="L76" s="42" t="s">
        <v>320</v>
      </c>
      <c r="M76" s="144"/>
    </row>
    <row r="77" spans="1:13" x14ac:dyDescent="0.25">
      <c r="A77" s="91" t="s">
        <v>338</v>
      </c>
      <c r="B77" s="92">
        <v>1442707</v>
      </c>
      <c r="C77" s="92" t="s">
        <v>145</v>
      </c>
      <c r="D77" s="39">
        <v>10011503</v>
      </c>
      <c r="E77" s="80" t="s">
        <v>131</v>
      </c>
      <c r="F77" s="39">
        <v>260680</v>
      </c>
      <c r="G77" s="39">
        <v>60180</v>
      </c>
      <c r="H77" s="38">
        <v>200500</v>
      </c>
      <c r="I77" s="93">
        <v>260550</v>
      </c>
      <c r="J77" s="41">
        <v>60650</v>
      </c>
      <c r="K77" s="40" t="s">
        <v>130</v>
      </c>
      <c r="L77" s="47" t="s">
        <v>125</v>
      </c>
      <c r="M77" s="144"/>
    </row>
    <row r="78" spans="1:13" x14ac:dyDescent="0.25">
      <c r="A78" s="86"/>
      <c r="B78" s="87"/>
      <c r="C78" s="88" t="s">
        <v>124</v>
      </c>
      <c r="D78" s="88" t="s">
        <v>200</v>
      </c>
      <c r="E78" s="31" t="s">
        <v>138</v>
      </c>
      <c r="F78" s="34"/>
      <c r="G78" s="34"/>
      <c r="H78" s="33"/>
      <c r="I78" s="35"/>
      <c r="J78" s="32"/>
      <c r="K78" s="32"/>
      <c r="L78" s="42" t="s">
        <v>320</v>
      </c>
      <c r="M78" s="144"/>
    </row>
    <row r="79" spans="1:13" x14ac:dyDescent="0.25">
      <c r="A79" s="95" t="s">
        <v>339</v>
      </c>
      <c r="B79" s="96">
        <v>1326020</v>
      </c>
      <c r="C79" s="96" t="s">
        <v>141</v>
      </c>
      <c r="D79" s="97">
        <v>10011657</v>
      </c>
      <c r="E79" s="115" t="s">
        <v>340</v>
      </c>
      <c r="F79" s="97">
        <v>256600</v>
      </c>
      <c r="G79" s="97">
        <v>70900</v>
      </c>
      <c r="H79" s="111">
        <v>185700</v>
      </c>
      <c r="I79" s="98">
        <v>257300</v>
      </c>
      <c r="J79" s="99">
        <v>68050</v>
      </c>
      <c r="K79" s="100" t="s">
        <v>61</v>
      </c>
      <c r="L79" s="101" t="s">
        <v>341</v>
      </c>
      <c r="M79" s="144"/>
    </row>
    <row r="80" spans="1:13" x14ac:dyDescent="0.25">
      <c r="A80" s="102"/>
      <c r="B80" s="103"/>
      <c r="C80" s="104" t="s">
        <v>318</v>
      </c>
      <c r="D80" s="104" t="s">
        <v>342</v>
      </c>
      <c r="E80" s="116"/>
      <c r="F80" s="112"/>
      <c r="G80" s="112"/>
      <c r="H80" s="113"/>
      <c r="I80" s="105"/>
      <c r="J80" s="106"/>
      <c r="K80" s="106"/>
      <c r="L80" s="107" t="s">
        <v>343</v>
      </c>
      <c r="M80" s="144"/>
    </row>
    <row r="81" spans="1:13" x14ac:dyDescent="0.25">
      <c r="A81" s="91" t="s">
        <v>344</v>
      </c>
      <c r="B81" s="92">
        <v>1326017</v>
      </c>
      <c r="C81" s="92" t="s">
        <v>141</v>
      </c>
      <c r="D81" s="39">
        <v>10011528</v>
      </c>
      <c r="E81" s="80" t="s">
        <v>345</v>
      </c>
      <c r="F81" s="39">
        <v>247800</v>
      </c>
      <c r="G81" s="39">
        <v>70000</v>
      </c>
      <c r="H81" s="38">
        <v>177800</v>
      </c>
      <c r="I81" s="93">
        <v>249000</v>
      </c>
      <c r="J81" s="41">
        <v>75850</v>
      </c>
      <c r="K81" s="40" t="s">
        <v>346</v>
      </c>
      <c r="L81" s="47" t="s">
        <v>125</v>
      </c>
      <c r="M81" s="144"/>
    </row>
    <row r="82" spans="1:13" x14ac:dyDescent="0.25">
      <c r="A82" s="86"/>
      <c r="B82" s="87"/>
      <c r="C82" s="88" t="s">
        <v>318</v>
      </c>
      <c r="D82" s="88" t="s">
        <v>328</v>
      </c>
      <c r="E82" s="31" t="s">
        <v>347</v>
      </c>
      <c r="F82" s="34"/>
      <c r="G82" s="34"/>
      <c r="H82" s="33"/>
      <c r="I82" s="35"/>
      <c r="J82" s="32"/>
      <c r="K82" s="32"/>
      <c r="L82" s="42" t="s">
        <v>320</v>
      </c>
      <c r="M82" s="144"/>
    </row>
    <row r="83" spans="1:13" x14ac:dyDescent="0.25">
      <c r="A83" s="91" t="s">
        <v>348</v>
      </c>
      <c r="B83" s="92">
        <v>1326015</v>
      </c>
      <c r="C83" s="92" t="s">
        <v>141</v>
      </c>
      <c r="D83" s="39">
        <v>10011558</v>
      </c>
      <c r="E83" s="80" t="s">
        <v>326</v>
      </c>
      <c r="F83" s="39">
        <v>259100</v>
      </c>
      <c r="G83" s="39">
        <v>67100</v>
      </c>
      <c r="H83" s="38">
        <v>192000</v>
      </c>
      <c r="I83" s="93">
        <v>259600</v>
      </c>
      <c r="J83" s="41">
        <v>66800</v>
      </c>
      <c r="K83" s="40">
        <v>606</v>
      </c>
      <c r="L83" s="47" t="s">
        <v>125</v>
      </c>
      <c r="M83" s="144"/>
    </row>
    <row r="84" spans="1:13" x14ac:dyDescent="0.25">
      <c r="A84" s="86"/>
      <c r="B84" s="87"/>
      <c r="C84" s="88" t="s">
        <v>318</v>
      </c>
      <c r="D84" s="88" t="s">
        <v>319</v>
      </c>
      <c r="E84" s="114"/>
      <c r="F84" s="34"/>
      <c r="G84" s="34"/>
      <c r="H84" s="33"/>
      <c r="I84" s="35"/>
      <c r="J84" s="32"/>
      <c r="K84" s="32"/>
      <c r="L84" s="42" t="s">
        <v>323</v>
      </c>
      <c r="M84" s="144"/>
    </row>
    <row r="85" spans="1:13" x14ac:dyDescent="0.25">
      <c r="A85" s="91" t="s">
        <v>349</v>
      </c>
      <c r="B85" s="92">
        <v>1325985</v>
      </c>
      <c r="C85" s="92" t="s">
        <v>141</v>
      </c>
      <c r="D85" s="39">
        <v>10011533</v>
      </c>
      <c r="E85" s="80" t="s">
        <v>140</v>
      </c>
      <c r="F85" s="39">
        <v>257700</v>
      </c>
      <c r="G85" s="39">
        <v>68000</v>
      </c>
      <c r="H85" s="38">
        <v>189700</v>
      </c>
      <c r="I85" s="93">
        <v>258950</v>
      </c>
      <c r="J85" s="41">
        <v>65400</v>
      </c>
      <c r="K85" s="40">
        <v>155</v>
      </c>
      <c r="L85" s="47" t="s">
        <v>125</v>
      </c>
      <c r="M85" s="144"/>
    </row>
    <row r="86" spans="1:13" x14ac:dyDescent="0.25">
      <c r="A86" s="86"/>
      <c r="B86" s="87"/>
      <c r="C86" s="88" t="s">
        <v>318</v>
      </c>
      <c r="D86" s="88" t="s">
        <v>319</v>
      </c>
      <c r="E86" s="114"/>
      <c r="F86" s="34"/>
      <c r="G86" s="34"/>
      <c r="H86" s="33"/>
      <c r="I86" s="35"/>
      <c r="J86" s="32"/>
      <c r="K86" s="32"/>
      <c r="L86" s="42" t="s">
        <v>320</v>
      </c>
      <c r="M86" s="144"/>
    </row>
    <row r="87" spans="1:13" x14ac:dyDescent="0.25">
      <c r="A87" s="91" t="s">
        <v>350</v>
      </c>
      <c r="B87" s="92">
        <v>1490615</v>
      </c>
      <c r="C87" s="92" t="s">
        <v>351</v>
      </c>
      <c r="D87" s="39">
        <v>10011503</v>
      </c>
      <c r="E87" s="80" t="s">
        <v>131</v>
      </c>
      <c r="F87" s="39">
        <v>206800</v>
      </c>
      <c r="G87" s="39">
        <v>77800</v>
      </c>
      <c r="H87" s="38">
        <v>129000</v>
      </c>
      <c r="I87" s="93">
        <v>205650</v>
      </c>
      <c r="J87" s="41">
        <v>77500</v>
      </c>
      <c r="K87" s="40" t="s">
        <v>144</v>
      </c>
      <c r="L87" s="47" t="s">
        <v>125</v>
      </c>
      <c r="M87" s="144"/>
    </row>
    <row r="88" spans="1:13" x14ac:dyDescent="0.25">
      <c r="A88" s="86"/>
      <c r="B88" s="87"/>
      <c r="C88" s="88" t="s">
        <v>331</v>
      </c>
      <c r="D88" s="88" t="s">
        <v>352</v>
      </c>
      <c r="E88" s="31" t="s">
        <v>143</v>
      </c>
      <c r="F88" s="34"/>
      <c r="G88" s="34"/>
      <c r="H88" s="33"/>
      <c r="I88" s="35"/>
      <c r="J88" s="32"/>
      <c r="K88" s="32"/>
      <c r="L88" s="42" t="s">
        <v>320</v>
      </c>
      <c r="M88" s="144"/>
    </row>
    <row r="89" spans="1:13" x14ac:dyDescent="0.25">
      <c r="A89" s="91" t="s">
        <v>353</v>
      </c>
      <c r="B89" s="92">
        <v>1490615</v>
      </c>
      <c r="C89" s="92" t="s">
        <v>351</v>
      </c>
      <c r="D89" s="39">
        <v>10011503</v>
      </c>
      <c r="E89" s="80" t="s">
        <v>131</v>
      </c>
      <c r="F89" s="39">
        <v>208000</v>
      </c>
      <c r="G89" s="39">
        <v>78600</v>
      </c>
      <c r="H89" s="38">
        <v>129400</v>
      </c>
      <c r="I89" s="93">
        <v>206850</v>
      </c>
      <c r="J89" s="41">
        <v>78350</v>
      </c>
      <c r="K89" s="40">
        <v>401</v>
      </c>
      <c r="L89" s="47" t="s">
        <v>125</v>
      </c>
      <c r="M89" s="144"/>
    </row>
    <row r="90" spans="1:13" ht="15.75" thickBot="1" x14ac:dyDescent="0.3">
      <c r="A90" s="108"/>
      <c r="B90" s="109"/>
      <c r="C90" s="110" t="s">
        <v>331</v>
      </c>
      <c r="D90" s="110" t="s">
        <v>352</v>
      </c>
      <c r="E90" s="117"/>
      <c r="F90" s="44"/>
      <c r="G90" s="44"/>
      <c r="H90" s="68"/>
      <c r="I90" s="74"/>
      <c r="J90" s="43"/>
      <c r="K90" s="43"/>
      <c r="L90" s="70" t="s">
        <v>320</v>
      </c>
      <c r="M90" s="144"/>
    </row>
  </sheetData>
  <mergeCells count="47">
    <mergeCell ref="N1:R2"/>
    <mergeCell ref="M29:M30"/>
    <mergeCell ref="M49:M50"/>
    <mergeCell ref="M51:M52"/>
    <mergeCell ref="M53:M54"/>
    <mergeCell ref="M27:M28"/>
    <mergeCell ref="M31:M32"/>
    <mergeCell ref="M33:M34"/>
    <mergeCell ref="M35:M36"/>
    <mergeCell ref="M37:M38"/>
    <mergeCell ref="M19:M20"/>
    <mergeCell ref="M21:M22"/>
    <mergeCell ref="M23:M24"/>
    <mergeCell ref="M25:M26"/>
    <mergeCell ref="M9:M10"/>
    <mergeCell ref="M11:M12"/>
    <mergeCell ref="M55:M56"/>
    <mergeCell ref="M57:M58"/>
    <mergeCell ref="M39:M40"/>
    <mergeCell ref="M41:M42"/>
    <mergeCell ref="M43:M44"/>
    <mergeCell ref="M45:M46"/>
    <mergeCell ref="M47:M48"/>
    <mergeCell ref="M13:M14"/>
    <mergeCell ref="M15:M16"/>
    <mergeCell ref="M17:M18"/>
    <mergeCell ref="A1:C1"/>
    <mergeCell ref="M1:M2"/>
    <mergeCell ref="M3:M4"/>
    <mergeCell ref="M5:M6"/>
    <mergeCell ref="M7:M8"/>
    <mergeCell ref="M59:M60"/>
    <mergeCell ref="M61:M62"/>
    <mergeCell ref="M63:M64"/>
    <mergeCell ref="M65:M66"/>
    <mergeCell ref="M67:M68"/>
    <mergeCell ref="M69:M70"/>
    <mergeCell ref="M71:M72"/>
    <mergeCell ref="M73:M74"/>
    <mergeCell ref="M75:M76"/>
    <mergeCell ref="M77:M78"/>
    <mergeCell ref="M89:M90"/>
    <mergeCell ref="M79:M80"/>
    <mergeCell ref="M81:M82"/>
    <mergeCell ref="M83:M84"/>
    <mergeCell ref="M85:M86"/>
    <mergeCell ref="M87:M88"/>
  </mergeCells>
  <hyperlinks>
    <hyperlink ref="M57:M58" r:id="rId1" display="GNWR4086 3-23" xr:uid="{0D3C60EA-ECFD-47BE-9CE0-532594654D3E}"/>
    <hyperlink ref="M55:M56" r:id="rId2" display="GNWR4034 3-23" xr:uid="{9DBEB188-E717-407D-AB3F-225269E323EC}"/>
    <hyperlink ref="M53:M54" r:id="rId3" display="GNWR4087 3-20" xr:uid="{1D60061E-846D-43CD-9FE2-4B84A32F1F60}"/>
    <hyperlink ref="M51:M52" r:id="rId4" display="CSS30247 3-20" xr:uid="{0ECF2D2F-461F-44DB-B7E0-3C17D70B86BD}"/>
    <hyperlink ref="M49:M50" r:id="rId5" display="SMIX660648 3-16" xr:uid="{59398E4F-7EA0-424A-ADEF-028DE7129B9C}"/>
    <hyperlink ref="M47:M48" r:id="rId6" display="RMGX9109 3-12" xr:uid="{93D357C5-39C7-48AB-B304-AA5F2ED50730}"/>
    <hyperlink ref="M45:M46" r:id="rId7" display="GNWR4135 3-12" xr:uid="{DDBDEBAC-9A33-479A-8A87-A31EA9742C26}"/>
    <hyperlink ref="M43:M44" r:id="rId8" display="AEX26609 3-12" xr:uid="{7B26B4EE-C7C7-443F-99A1-BCDDA4435B6D}"/>
    <hyperlink ref="M41:M42" r:id="rId9" display="AEX26566 3-12" xr:uid="{74FF0BEF-5073-462C-A9A4-0CCE453BBB13}"/>
    <hyperlink ref="M39:M40" r:id="rId10" display="AEX19553 3-12" xr:uid="{AD50A2C3-0901-4A9B-8C5C-A65A12CFEC1A}"/>
    <hyperlink ref="M37:M38" r:id="rId11" display="Truck Scales\Railcar Photos\2026\03-2026\3-12\AEX19544 3-12.png" xr:uid="{96F86ECD-8049-4B1C-95FD-1B7235938465}"/>
    <hyperlink ref="M35:M36" r:id="rId12" display="ZVBX52230 3-10" xr:uid="{712B88A2-5552-4DF6-A6CE-0F0D20090156}"/>
    <hyperlink ref="M33:M34" r:id="rId13" display="SMIX660216 3-10" xr:uid="{A96E7ABB-F580-4ADB-9DA9-2096671B53DE}"/>
    <hyperlink ref="M31:M32" r:id="rId14" display="Truck Scales\Railcar Photos\2026\03-2026\3-10\GNWR4117 3-10.png" xr:uid="{9C88D72F-61B2-4A9D-ABC3-2748E343A35A}"/>
    <hyperlink ref="M27:M28" r:id="rId15" display="Truck Scales\Railcar Photos\2026\03-2026\3-10\CSXT483470 3-10.png" xr:uid="{06020BDA-51BB-415F-9DA2-A4C891A7373A}"/>
    <hyperlink ref="M29:M30" r:id="rId16" display="Truck Scales\Railcar Photos\2026\03-2026\3-10\GNWR4076 3-10.png" xr:uid="{59CFCFEA-E1B4-4C6B-A250-AD95F0BA7BFC}"/>
    <hyperlink ref="M25:M26" r:id="rId17" display="Truck Scales\Railcar Photos\2026\03-2026\3-10\CR581775 3-10.png" xr:uid="{4F8D2AD2-BE91-461E-8509-C20D50D5EE7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Consumption1</vt:lpstr>
      <vt:lpstr>Consumption2</vt:lpstr>
      <vt:lpstr>Consumption3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2026-04-06T18:51:10Z</dcterms:modified>
</cp:coreProperties>
</file>