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C199160-2FFF-4378-9C95-8B2E38B1CA03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<sst xmlns="http://schemas.openxmlformats.org/spreadsheetml/2006/main" count="1273" uniqueCount="230">
  <si>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</si>
  <si>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</si>
  <si>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</si>
  <si>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</si>
  <si>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</si>
  <si>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</si>
  <si>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</si>
  <si>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</si>
  <si>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</si>
  <si>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</si>
  <si>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</si>
  <si>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</si>
  <si>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</si>
  <si>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</si>
  <si>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</si>
  <si>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</si>
  <si>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</si>
  <si>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</si>
  <si>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</si>
  <si>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</si>
  <si>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</si>
  <si>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</si>
  <si>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</si>
  <si>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</si>
  <si>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</si>
  <si>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</si>
  <si>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</si>
  <si>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</si>
  <si>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</si>
  <si>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</si>
  <si>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</si>
  <si>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</si>
  <si>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</si>
  <si>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</si>
  <si>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</si>
  <si>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</si>
  <si>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</si>
  <si>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</si>
  <si>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</si>
  <si>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</si>
  <si>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</si>
  <si>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</si>
  <si>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</si>
  <si>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</si>
  <si>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</si>
  <si>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</si>
  <si>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</si>
  <si>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</si>
  <si>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</si>
  <si>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</si>
  <si>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</si>
  <si>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</si>
  <si>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</si>
  <si>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</si>
  <si>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</si>
  <si>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</si>
  <si>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</si>
  <si>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</si>
  <si>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</si>
  <si>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</si>
  <si>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</si>
  <si>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</si>
  <si>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</si>
  <si>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</si>
  <si>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</si>
  <si>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</si>
  <si>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</si>
  <si>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</si>
  <si>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</si>
  <si>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</si>
  <si>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</si>
  <si>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</si>
  <si>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</si>
  <si>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</si>
  <si>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</si>
  <si>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</si>
  <si>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</si>
  <si>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</si>
  <si>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</si>
  <si>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</si>
  <si>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</si>
  <si>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</si>
  <si>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</si>
  <si>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</si>
  <si>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</si>
  <si>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</si>
  <si>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</si>
  <si>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</si>
  <si>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</si>
  <si>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</si>
  <si>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</si>
  <si>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</si>
  <si>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</si>
  <si>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</si>
  <si>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</si>
  <si>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</si>
  <si>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</si>
  <si>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</si>
  <si>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</si>
  <si>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</si>
  <si>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AEX19516</t>
  </si>
  <si>
    <t>S 436 St Scrap</t>
  </si>
  <si>
    <t>CLVX804429</t>
  </si>
  <si>
    <t>S 181/409 Blend</t>
  </si>
  <si>
    <t>15R/947</t>
  </si>
  <si>
    <t>Slitter/Chop</t>
  </si>
  <si>
    <t>RG&gt;436Stainless</t>
  </si>
  <si>
    <t>CSS30256</t>
  </si>
  <si>
    <t>ARVIN SANGO INC</t>
  </si>
  <si>
    <t>S 430 Scrap</t>
  </si>
  <si>
    <t>Kroot</t>
  </si>
  <si>
    <t>Bundles</t>
  </si>
  <si>
    <t>OMNX102006</t>
  </si>
  <si>
    <t>OMNISOURCE CORPO</t>
  </si>
  <si>
    <t>ZVBX18023</t>
  </si>
  <si>
    <t>FERROUS PROCESSI</t>
  </si>
  <si>
    <t>S Fragmented Scrap</t>
  </si>
  <si>
    <t>Frag</t>
  </si>
  <si>
    <t>ZVBX6226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</si>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</sst>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0" borderId="10" xfId="0" applyBorder="1" applyAlignment="1">
      <alignment horizontal="left"/>
    </xf>
    <xf numFmtId="3" fontId="5" fillId="0" borderId="2" xfId="0" applyNumberFormat="1" applyFont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A2" sqref="A2:E2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32</v>
      </c>
      <c r="E2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"/>
  <sheetViews>
    <sheetView workbookViewId="0">
      <selection activeCell="I12" sqref="I12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120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121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122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123</v>
      </c>
      <c r="C23" t="s">
        <v>124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4"/>
  <sheetViews>
    <sheetView workbookViewId="0">
      <selection sqref="A1:D2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52</v>
      </c>
      <c r="B2" t="s">
        <v>53</v>
      </c>
      <c r="C2">
        <v>120350</v>
      </c>
      <c r="D2">
        <v>60.17</v>
      </c>
    </row>
    <row r="3" spans="1:4" x14ac:dyDescent="0.25">
      <c r="A3" t="s">
        <v>54</v>
      </c>
      <c r="B3" t="s">
        <v>55</v>
      </c>
      <c r="C3">
        <v>154600</v>
      </c>
      <c r="D3">
        <v>77.3</v>
      </c>
    </row>
    <row r="4" spans="1:4" x14ac:dyDescent="0.25">
      <c r="A4" t="s">
        <v>120</v>
      </c>
      <c r="B4" t="s">
        <v>57</v>
      </c>
      <c r="C4">
        <v>19450</v>
      </c>
      <c r="D4">
        <v>9.7200000000000006</v>
      </c>
    </row>
    <row r="5" spans="1:4" x14ac:dyDescent="0.25">
      <c r="A5" t="s">
        <v>56</v>
      </c>
      <c r="B5" t="s">
        <v>57</v>
      </c>
      <c r="C5">
        <v>702850</v>
      </c>
      <c r="D5">
        <v>351.43</v>
      </c>
    </row>
    <row r="6" spans="1:4" x14ac:dyDescent="0.25">
      <c r="A6" t="s">
        <v>121</v>
      </c>
      <c r="B6" t="s">
        <v>57</v>
      </c>
      <c r="C6">
        <v>171850</v>
      </c>
      <c r="D6">
        <v>85.92</v>
      </c>
    </row>
    <row r="7" spans="1:4" x14ac:dyDescent="0.25">
      <c r="A7" t="s">
        <v>69</v>
      </c>
      <c r="B7" t="s">
        <v>70</v>
      </c>
      <c r="C7">
        <v>17880</v>
      </c>
      <c r="D7">
        <v>8.94</v>
      </c>
    </row>
    <row r="8" spans="1:4" x14ac:dyDescent="0.25">
      <c r="A8" t="s">
        <v>71</v>
      </c>
      <c r="B8" t="s">
        <v>72</v>
      </c>
      <c r="C8">
        <v>139900</v>
      </c>
      <c r="D8">
        <v>69.95</v>
      </c>
    </row>
    <row r="9" spans="1:4" x14ac:dyDescent="0.25">
      <c r="A9" t="s">
        <v>73</v>
      </c>
      <c r="B9" t="s">
        <v>74</v>
      </c>
      <c r="C9">
        <v>64630</v>
      </c>
      <c r="D9">
        <v>32.31</v>
      </c>
    </row>
    <row r="10" spans="1:4" x14ac:dyDescent="0.25">
      <c r="A10" t="s">
        <v>75</v>
      </c>
      <c r="B10" t="s">
        <v>76</v>
      </c>
      <c r="C10">
        <v>68900</v>
      </c>
      <c r="D10">
        <v>34.450000000000003</v>
      </c>
    </row>
    <row r="11" spans="1:4" x14ac:dyDescent="0.25">
      <c r="A11" t="s">
        <v>77</v>
      </c>
      <c r="B11" t="s">
        <v>78</v>
      </c>
      <c r="C11">
        <v>663780</v>
      </c>
      <c r="D11">
        <v>331.89</v>
      </c>
    </row>
    <row r="12" spans="1:4" x14ac:dyDescent="0.25">
      <c r="A12" t="s">
        <v>79</v>
      </c>
      <c r="B12" t="s">
        <v>80</v>
      </c>
      <c r="C12">
        <v>193700</v>
      </c>
      <c r="D12">
        <v>96.85</v>
      </c>
    </row>
    <row r="13" spans="1:4" x14ac:dyDescent="0.25">
      <c r="A13" t="s">
        <v>122</v>
      </c>
      <c r="B13" t="s">
        <v>80</v>
      </c>
      <c r="C13">
        <v>5150</v>
      </c>
      <c r="D13">
        <v>2.58</v>
      </c>
    </row>
    <row r="14" spans="1:4" x14ac:dyDescent="0.25">
      <c r="A14" t="s">
        <v>81</v>
      </c>
      <c r="B14" t="s">
        <v>82</v>
      </c>
      <c r="C14">
        <v>40600</v>
      </c>
      <c r="D14">
        <v>20.3</v>
      </c>
    </row>
    <row r="15" spans="1:4" x14ac:dyDescent="0.25">
      <c r="A15" t="s">
        <v>83</v>
      </c>
      <c r="B15" t="s">
        <v>84</v>
      </c>
      <c r="C15">
        <v>10160</v>
      </c>
      <c r="D15">
        <v>5.08</v>
      </c>
    </row>
    <row r="16" spans="1:4" x14ac:dyDescent="0.25">
      <c r="A16" t="s">
        <v>85</v>
      </c>
      <c r="B16" t="s">
        <v>86</v>
      </c>
      <c r="C16">
        <v>42250</v>
      </c>
      <c r="D16">
        <v>21.12</v>
      </c>
    </row>
    <row r="17" spans="1:4" x14ac:dyDescent="0.25">
      <c r="A17" t="s">
        <v>58</v>
      </c>
      <c r="B17" t="s">
        <v>59</v>
      </c>
      <c r="C17">
        <v>41050</v>
      </c>
      <c r="D17">
        <v>20.52</v>
      </c>
    </row>
    <row r="18" spans="1:4" x14ac:dyDescent="0.25">
      <c r="A18" t="s">
        <v>60</v>
      </c>
      <c r="B18" t="s">
        <v>61</v>
      </c>
      <c r="C18">
        <v>395650</v>
      </c>
      <c r="D18">
        <v>197.82</v>
      </c>
    </row>
    <row r="19" spans="1:4" x14ac:dyDescent="0.25">
      <c r="A19" t="s">
        <v>62</v>
      </c>
      <c r="B19" t="s">
        <v>63</v>
      </c>
      <c r="C19">
        <v>40800</v>
      </c>
      <c r="D19">
        <v>20.399999999999999</v>
      </c>
    </row>
    <row r="20" spans="1:4" x14ac:dyDescent="0.25">
      <c r="A20" t="s">
        <v>64</v>
      </c>
      <c r="B20" t="s">
        <v>65</v>
      </c>
      <c r="C20">
        <v>36970</v>
      </c>
      <c r="D20">
        <v>18.48</v>
      </c>
    </row>
    <row r="21" spans="1:4" x14ac:dyDescent="0.25">
      <c r="A21" t="s">
        <v>87</v>
      </c>
      <c r="B21" t="s">
        <v>88</v>
      </c>
      <c r="C21">
        <v>56250</v>
      </c>
      <c r="D21">
        <v>28.12</v>
      </c>
    </row>
    <row r="22" spans="1:4" x14ac:dyDescent="0.25">
      <c r="A22" t="s">
        <v>89</v>
      </c>
      <c r="B22" t="s">
        <v>90</v>
      </c>
      <c r="C22">
        <v>16900</v>
      </c>
      <c r="D22">
        <v>8.4499999999999993</v>
      </c>
    </row>
    <row r="23" spans="1:4" x14ac:dyDescent="0.25">
      <c r="A23" t="s">
        <v>123</v>
      </c>
      <c r="B23" t="s">
        <v>124</v>
      </c>
      <c r="C23">
        <v>4250</v>
      </c>
      <c r="D23">
        <v>2.12</v>
      </c>
    </row>
    <row r="24" spans="1:4" x14ac:dyDescent="0.25">
      <c r="A24" t="s">
        <v>66</v>
      </c>
      <c r="B24" t="s">
        <v>67</v>
      </c>
      <c r="C24">
        <v>120840</v>
      </c>
      <c r="D24">
        <v>60.42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59"/>
  <sheetViews>
    <sheetView topLeftCell="A145" workbookViewId="0">
      <selection activeCell="I163" sqref="I163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8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9"/>
    </row>
    <row r="3" spans="1:8" x14ac:dyDescent="0.25">
      <c r="A3" s="18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9"/>
    </row>
    <row r="4" spans="1:8" x14ac:dyDescent="0.25">
      <c r="A4" s="18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9"/>
    </row>
    <row r="5" spans="1:8" x14ac:dyDescent="0.25">
      <c r="A5" s="18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9"/>
    </row>
    <row r="6" spans="1:8" x14ac:dyDescent="0.25">
      <c r="A6" s="18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9"/>
    </row>
    <row r="7" spans="1:8" x14ac:dyDescent="0.25">
      <c r="A7" s="18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9"/>
    </row>
    <row r="8" spans="1:8" x14ac:dyDescent="0.25">
      <c r="A8" s="18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9"/>
    </row>
    <row r="9" spans="1:8" x14ac:dyDescent="0.25">
      <c r="A9" s="18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9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125</v>
      </c>
      <c r="C90" t="s">
        <v>98</v>
      </c>
      <c r="D90" t="s">
        <v>120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125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125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125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125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125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125</v>
      </c>
      <c r="C96" t="s">
        <v>98</v>
      </c>
      <c r="D96" t="s">
        <v>122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125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125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125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125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125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125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126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126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126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126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126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126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126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126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126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126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126</v>
      </c>
      <c r="C113" t="s">
        <v>98</v>
      </c>
      <c r="D113" t="s">
        <v>123</v>
      </c>
      <c r="E113" t="s">
        <v>124</v>
      </c>
      <c r="F113">
        <v>4250</v>
      </c>
      <c r="G113">
        <v>2.12</v>
      </c>
    </row>
    <row r="114" spans="1:7" x14ac:dyDescent="0.25">
      <c r="A114" t="s">
        <v>68</v>
      </c>
      <c r="B114" t="s">
        <v>126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127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127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127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127</v>
      </c>
      <c r="C118" t="s">
        <v>93</v>
      </c>
      <c r="D118" t="s">
        <v>121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127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127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127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127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127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127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127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127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127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127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128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128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128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128</v>
      </c>
      <c r="C132" t="s">
        <v>51</v>
      </c>
      <c r="D132" t="s">
        <v>121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128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128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128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128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128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128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128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128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128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128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68</v>
      </c>
      <c r="B143" t="s">
        <v>129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68</v>
      </c>
      <c r="B144" t="s">
        <v>129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68</v>
      </c>
      <c r="B145" t="s">
        <v>129</v>
      </c>
      <c r="C145" t="s">
        <v>93</v>
      </c>
      <c r="D145" t="s">
        <v>121</v>
      </c>
      <c r="E145" t="s">
        <v>57</v>
      </c>
      <c r="F145">
        <v>54050</v>
      </c>
      <c r="G145">
        <v>27.02</v>
      </c>
    </row>
    <row r="146" spans="1:7" x14ac:dyDescent="0.25">
      <c r="A146" t="s">
        <v>68</v>
      </c>
      <c r="B146" t="s">
        <v>129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68</v>
      </c>
      <c r="B147" t="s">
        <v>129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68</v>
      </c>
      <c r="B148" t="s">
        <v>129</v>
      </c>
      <c r="C148" t="s">
        <v>93</v>
      </c>
      <c r="D148" t="s">
        <v>77</v>
      </c>
      <c r="E148" t="s">
        <v>78</v>
      </c>
      <c r="F148">
        <v>55470</v>
      </c>
      <c r="G148">
        <v>27.73</v>
      </c>
    </row>
    <row r="149" spans="1:7" x14ac:dyDescent="0.25">
      <c r="A149" t="s">
        <v>68</v>
      </c>
      <c r="B149" t="s">
        <v>129</v>
      </c>
      <c r="C149" t="s">
        <v>93</v>
      </c>
      <c r="D149" t="s">
        <v>83</v>
      </c>
      <c r="E149" t="s">
        <v>84</v>
      </c>
      <c r="F149">
        <v>370</v>
      </c>
      <c r="G149">
        <v>0.18</v>
      </c>
    </row>
    <row r="150" spans="1:7" x14ac:dyDescent="0.25">
      <c r="A150" t="s">
        <v>68</v>
      </c>
      <c r="B150" t="s">
        <v>129</v>
      </c>
      <c r="C150" t="s">
        <v>93</v>
      </c>
      <c r="D150" t="s">
        <v>85</v>
      </c>
      <c r="E150" t="s">
        <v>86</v>
      </c>
      <c r="F150">
        <v>10300</v>
      </c>
      <c r="G150">
        <v>5.15</v>
      </c>
    </row>
    <row r="151" spans="1:7" x14ac:dyDescent="0.25">
      <c r="A151" t="s">
        <v>68</v>
      </c>
      <c r="B151" t="s">
        <v>129</v>
      </c>
      <c r="C151" t="s">
        <v>93</v>
      </c>
      <c r="D151" t="s">
        <v>58</v>
      </c>
      <c r="E151" t="s">
        <v>59</v>
      </c>
      <c r="F151">
        <v>4950</v>
      </c>
      <c r="G151">
        <v>2.48</v>
      </c>
    </row>
    <row r="152" spans="1:7" x14ac:dyDescent="0.25">
      <c r="A152" t="s">
        <v>68</v>
      </c>
      <c r="B152" t="s">
        <v>129</v>
      </c>
      <c r="C152" t="s">
        <v>93</v>
      </c>
      <c r="D152" t="s">
        <v>60</v>
      </c>
      <c r="E152" t="s">
        <v>61</v>
      </c>
      <c r="F152">
        <v>49950</v>
      </c>
      <c r="G152">
        <v>24.98</v>
      </c>
    </row>
    <row r="153" spans="1:7" x14ac:dyDescent="0.25">
      <c r="A153" t="s">
        <v>68</v>
      </c>
      <c r="B153" t="s">
        <v>129</v>
      </c>
      <c r="C153" t="s">
        <v>93</v>
      </c>
      <c r="D153" t="s">
        <v>64</v>
      </c>
      <c r="E153" t="s">
        <v>65</v>
      </c>
      <c r="F153">
        <v>3650</v>
      </c>
      <c r="G153">
        <v>1.82</v>
      </c>
    </row>
    <row r="154" spans="1:7" x14ac:dyDescent="0.25">
      <c r="A154" t="s">
        <v>68</v>
      </c>
      <c r="B154" t="s">
        <v>129</v>
      </c>
      <c r="C154" t="s">
        <v>93</v>
      </c>
      <c r="D154" t="s">
        <v>66</v>
      </c>
      <c r="E154" t="s">
        <v>67</v>
      </c>
      <c r="F154">
        <v>9790</v>
      </c>
      <c r="G154">
        <v>4.8899999999999997</v>
      </c>
    </row>
    <row r="155" spans="1:7" x14ac:dyDescent="0.25">
      <c r="A155" t="s">
        <v>68</v>
      </c>
      <c r="B155" t="s">
        <v>130</v>
      </c>
      <c r="C155" t="s">
        <v>51</v>
      </c>
      <c r="D155" t="s">
        <v>52</v>
      </c>
      <c r="E155" t="s">
        <v>53</v>
      </c>
      <c r="F155">
        <v>14950</v>
      </c>
      <c r="G155">
        <v>7.47</v>
      </c>
    </row>
    <row r="156" spans="1:7" x14ac:dyDescent="0.25">
      <c r="A156" t="s">
        <v>68</v>
      </c>
      <c r="B156" t="s">
        <v>130</v>
      </c>
      <c r="C156" t="s">
        <v>51</v>
      </c>
      <c r="D156" t="s">
        <v>121</v>
      </c>
      <c r="E156" t="s">
        <v>57</v>
      </c>
      <c r="F156">
        <v>62150</v>
      </c>
      <c r="G156">
        <v>31.07</v>
      </c>
    </row>
    <row r="157" spans="1:7" x14ac:dyDescent="0.25">
      <c r="A157" t="s">
        <v>68</v>
      </c>
      <c r="B157" t="s">
        <v>130</v>
      </c>
      <c r="C157" t="s">
        <v>51</v>
      </c>
      <c r="D157" t="s">
        <v>58</v>
      </c>
      <c r="E157" t="s">
        <v>59</v>
      </c>
      <c r="F157">
        <v>4350</v>
      </c>
      <c r="G157">
        <v>2.17</v>
      </c>
    </row>
    <row r="158" spans="1:7" x14ac:dyDescent="0.25">
      <c r="A158" t="s">
        <v>68</v>
      </c>
      <c r="B158" t="s">
        <v>130</v>
      </c>
      <c r="C158" t="s">
        <v>51</v>
      </c>
      <c r="D158" t="s">
        <v>60</v>
      </c>
      <c r="E158" t="s">
        <v>61</v>
      </c>
      <c r="F158">
        <v>50000</v>
      </c>
      <c r="G158">
        <v>25</v>
      </c>
    </row>
    <row r="159" spans="1:7" x14ac:dyDescent="0.25">
      <c r="A159" t="s">
        <v>68</v>
      </c>
      <c r="B159" t="s">
        <v>130</v>
      </c>
      <c r="C159" t="s">
        <v>51</v>
      </c>
      <c r="D159" t="s">
        <v>62</v>
      </c>
      <c r="E159" t="s">
        <v>63</v>
      </c>
      <c r="F159">
        <v>10500</v>
      </c>
      <c r="G159">
        <v>5.25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A2" sqref="A2:C2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131</v>
      </c>
      <c r="B2">
        <v>45</v>
      </c>
      <c r="C2">
        <v>1951460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H9" sqref="H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131</v>
      </c>
      <c r="B2" t="s">
        <v>132</v>
      </c>
      <c r="C2" t="s">
        <v>133</v>
      </c>
      <c r="D2">
        <v>104460</v>
      </c>
    </row>
    <row r="3" spans="1:4" x14ac:dyDescent="0.25">
      <c r="A3" t="s">
        <v>131</v>
      </c>
      <c r="B3" t="s">
        <v>134</v>
      </c>
      <c r="C3" t="s">
        <v>135</v>
      </c>
      <c r="D3">
        <v>92800</v>
      </c>
    </row>
    <row r="4" spans="1:4" x14ac:dyDescent="0.25">
      <c r="A4" t="s">
        <v>131</v>
      </c>
      <c r="B4" t="s">
        <v>136</v>
      </c>
      <c r="C4" t="s">
        <v>135</v>
      </c>
      <c r="D4">
        <v>135740</v>
      </c>
    </row>
    <row r="5" spans="1:4" x14ac:dyDescent="0.25">
      <c r="A5" t="s">
        <v>131</v>
      </c>
      <c r="B5" t="s">
        <v>137</v>
      </c>
      <c r="C5" t="s">
        <v>138</v>
      </c>
      <c r="D5">
        <v>76620</v>
      </c>
    </row>
    <row r="6" spans="1:4" x14ac:dyDescent="0.25">
      <c r="A6" t="s">
        <v>131</v>
      </c>
      <c r="B6" t="s">
        <v>139</v>
      </c>
      <c r="C6" t="s">
        <v>140</v>
      </c>
      <c r="D6">
        <v>21880</v>
      </c>
    </row>
    <row r="7" spans="1:4" x14ac:dyDescent="0.25">
      <c r="A7" t="s">
        <v>131</v>
      </c>
      <c r="B7" t="s">
        <v>120</v>
      </c>
      <c r="C7" t="s">
        <v>57</v>
      </c>
      <c r="D7">
        <v>61740</v>
      </c>
    </row>
    <row r="8" spans="1:4" x14ac:dyDescent="0.25">
      <c r="A8" t="s">
        <v>131</v>
      </c>
      <c r="B8" t="s">
        <v>56</v>
      </c>
      <c r="C8" t="s">
        <v>57</v>
      </c>
      <c r="D8">
        <v>248020</v>
      </c>
    </row>
    <row r="9" spans="1:4" x14ac:dyDescent="0.25">
      <c r="A9" t="s">
        <v>131</v>
      </c>
      <c r="B9" t="s">
        <v>141</v>
      </c>
      <c r="C9" t="s">
        <v>142</v>
      </c>
      <c r="D9">
        <v>28020</v>
      </c>
    </row>
    <row r="10" spans="1:4" x14ac:dyDescent="0.25">
      <c r="A10" t="s">
        <v>131</v>
      </c>
      <c r="B10" t="s">
        <v>143</v>
      </c>
      <c r="C10" t="s">
        <v>72</v>
      </c>
      <c r="D10">
        <v>112120</v>
      </c>
    </row>
    <row r="11" spans="1:4" x14ac:dyDescent="0.25">
      <c r="A11" t="s">
        <v>131</v>
      </c>
      <c r="B11" t="s">
        <v>77</v>
      </c>
      <c r="C11" t="s">
        <v>78</v>
      </c>
      <c r="D11">
        <v>561340</v>
      </c>
    </row>
    <row r="12" spans="1:4" x14ac:dyDescent="0.25">
      <c r="A12" t="s">
        <v>131</v>
      </c>
      <c r="B12" t="s">
        <v>144</v>
      </c>
      <c r="C12" t="s">
        <v>78</v>
      </c>
      <c r="D12">
        <v>187000</v>
      </c>
    </row>
    <row r="13" spans="1:4" x14ac:dyDescent="0.25">
      <c r="A13" t="s">
        <v>131</v>
      </c>
      <c r="B13" t="s">
        <v>79</v>
      </c>
      <c r="C13" t="s">
        <v>80</v>
      </c>
      <c r="D13">
        <v>114460</v>
      </c>
    </row>
    <row r="14" spans="1:4" x14ac:dyDescent="0.25">
      <c r="A14" t="s">
        <v>131</v>
      </c>
      <c r="B14" t="s">
        <v>123</v>
      </c>
      <c r="C14" t="s">
        <v>124</v>
      </c>
      <c r="D14">
        <v>98000</v>
      </c>
    </row>
    <row r="15" spans="1:4" x14ac:dyDescent="0.25">
      <c r="A15" t="s">
        <v>131</v>
      </c>
      <c r="B15" t="s">
        <v>145</v>
      </c>
      <c r="C15" t="s">
        <v>146</v>
      </c>
      <c r="D15">
        <v>13960</v>
      </c>
    </row>
    <row r="16" spans="1:4" x14ac:dyDescent="0.25">
      <c r="A16" t="s">
        <v>131</v>
      </c>
      <c r="B16" t="s">
        <v>66</v>
      </c>
      <c r="C16" t="s">
        <v>67</v>
      </c>
      <c r="D16">
        <v>95300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6"/>
  <sheetViews>
    <sheetView tabSelected="1" topLeftCell="A28" workbookViewId="0">
      <selection activeCell="F54" sqref="F54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147</v>
      </c>
      <c r="B2" t="s">
        <v>148</v>
      </c>
      <c r="C2" t="s">
        <v>66</v>
      </c>
      <c r="D2" t="s">
        <v>131</v>
      </c>
      <c r="E2" t="s">
        <v>67</v>
      </c>
      <c r="F2" t="s">
        <v>149</v>
      </c>
      <c r="G2">
        <v>78820</v>
      </c>
      <c r="H2">
        <v>31680</v>
      </c>
      <c r="I2">
        <v>47140</v>
      </c>
    </row>
    <row r="3" spans="1:9" x14ac:dyDescent="0.25">
      <c r="A3" t="s">
        <v>150</v>
      </c>
      <c r="B3" t="s">
        <v>151</v>
      </c>
      <c r="C3" t="s">
        <v>143</v>
      </c>
      <c r="D3" t="s">
        <v>131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152</v>
      </c>
      <c r="B4" t="s">
        <v>153</v>
      </c>
      <c r="C4" t="s">
        <v>143</v>
      </c>
      <c r="D4" t="s">
        <v>131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154</v>
      </c>
      <c r="B5" t="s">
        <v>155</v>
      </c>
      <c r="C5" t="s">
        <v>77</v>
      </c>
      <c r="D5" t="s">
        <v>131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156</v>
      </c>
      <c r="B6" t="s">
        <v>157</v>
      </c>
      <c r="C6" t="s">
        <v>123</v>
      </c>
      <c r="D6" t="s">
        <v>131</v>
      </c>
      <c r="E6" t="s">
        <v>124</v>
      </c>
      <c r="F6"/>
      <c r="G6">
        <v>90480</v>
      </c>
      <c r="H6">
        <v>34440</v>
      </c>
      <c r="I6">
        <v>56040</v>
      </c>
    </row>
    <row r="7" spans="1:9" x14ac:dyDescent="0.25">
      <c r="A7" t="s">
        <v>158</v>
      </c>
      <c r="B7" t="s">
        <v>159</v>
      </c>
      <c r="C7" t="s">
        <v>79</v>
      </c>
      <c r="D7" t="s">
        <v>131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160</v>
      </c>
      <c r="B8" t="s">
        <v>161</v>
      </c>
      <c r="C8" t="s">
        <v>79</v>
      </c>
      <c r="D8" t="s">
        <v>131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162</v>
      </c>
      <c r="B9" t="s">
        <v>163</v>
      </c>
      <c r="C9" t="s">
        <v>137</v>
      </c>
      <c r="D9" t="s">
        <v>131</v>
      </c>
      <c r="E9" t="s">
        <v>138</v>
      </c>
      <c r="F9" t="s">
        <v>164</v>
      </c>
      <c r="G9">
        <v>59760</v>
      </c>
      <c r="H9">
        <v>45860</v>
      </c>
      <c r="I9">
        <v>13900</v>
      </c>
    </row>
    <row r="10" spans="1:9" x14ac:dyDescent="0.25">
      <c r="A10" t="s">
        <v>165</v>
      </c>
      <c r="B10" t="s">
        <v>166</v>
      </c>
      <c r="C10" t="s">
        <v>144</v>
      </c>
      <c r="D10" t="s">
        <v>131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167</v>
      </c>
      <c r="B11" t="s">
        <v>168</v>
      </c>
      <c r="C11" t="s">
        <v>56</v>
      </c>
      <c r="D11" t="s">
        <v>131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162</v>
      </c>
      <c r="B12" t="s">
        <v>169</v>
      </c>
      <c r="C12" t="s">
        <v>137</v>
      </c>
      <c r="D12" t="s">
        <v>131</v>
      </c>
      <c r="E12" t="s">
        <v>138</v>
      </c>
      <c r="F12" t="s">
        <v>164</v>
      </c>
      <c r="G12">
        <v>60560</v>
      </c>
      <c r="H12">
        <v>45860</v>
      </c>
      <c r="I12">
        <v>14700</v>
      </c>
    </row>
    <row r="13" spans="1:9" x14ac:dyDescent="0.25">
      <c r="A13" t="s">
        <v>170</v>
      </c>
      <c r="B13" t="s">
        <v>171</v>
      </c>
      <c r="C13" t="s">
        <v>136</v>
      </c>
      <c r="D13" t="s">
        <v>131</v>
      </c>
      <c r="E13" t="s">
        <v>135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172</v>
      </c>
      <c r="B14" t="s">
        <v>173</v>
      </c>
      <c r="C14" t="s">
        <v>123</v>
      </c>
      <c r="D14" t="s">
        <v>131</v>
      </c>
      <c r="E14" t="s">
        <v>124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174</v>
      </c>
      <c r="B15" t="s">
        <v>175</v>
      </c>
      <c r="C15" t="s">
        <v>132</v>
      </c>
      <c r="D15" t="s">
        <v>131</v>
      </c>
      <c r="E15" t="s">
        <v>133</v>
      </c>
      <c r="F15" t="s">
        <v>176</v>
      </c>
      <c r="G15">
        <v>105560</v>
      </c>
      <c r="H15">
        <v>45140</v>
      </c>
      <c r="I15">
        <v>60420</v>
      </c>
    </row>
    <row r="16" spans="1:9" x14ac:dyDescent="0.25">
      <c r="A16" t="s">
        <v>162</v>
      </c>
      <c r="B16" t="s">
        <v>177</v>
      </c>
      <c r="C16" t="s">
        <v>137</v>
      </c>
      <c r="D16" t="s">
        <v>131</v>
      </c>
      <c r="E16" t="s">
        <v>138</v>
      </c>
      <c r="F16" t="s">
        <v>164</v>
      </c>
      <c r="G16">
        <v>59240</v>
      </c>
      <c r="H16">
        <v>45860</v>
      </c>
      <c r="I16">
        <v>13380</v>
      </c>
    </row>
    <row r="17" spans="1:9" x14ac:dyDescent="0.25">
      <c r="A17" t="s">
        <v>178</v>
      </c>
      <c r="B17" t="s">
        <v>179</v>
      </c>
      <c r="C17" t="s">
        <v>77</v>
      </c>
      <c r="D17" t="s">
        <v>131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180</v>
      </c>
      <c r="B18" t="s">
        <v>181</v>
      </c>
      <c r="C18" t="s">
        <v>77</v>
      </c>
      <c r="D18" t="s">
        <v>131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182</v>
      </c>
      <c r="B19" t="s">
        <v>183</v>
      </c>
      <c r="C19" t="s">
        <v>56</v>
      </c>
      <c r="D19" t="s">
        <v>131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184</v>
      </c>
      <c r="B20" t="s">
        <v>185</v>
      </c>
      <c r="C20" t="s">
        <v>120</v>
      </c>
      <c r="D20" t="s">
        <v>131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186</v>
      </c>
      <c r="B21" t="s">
        <v>187</v>
      </c>
      <c r="C21" t="s">
        <v>77</v>
      </c>
      <c r="D21" t="s">
        <v>131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188</v>
      </c>
      <c r="B22" t="s">
        <v>189</v>
      </c>
      <c r="C22" t="s">
        <v>77</v>
      </c>
      <c r="D22" t="s">
        <v>131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190</v>
      </c>
      <c r="B23" t="s">
        <v>191</v>
      </c>
      <c r="C23" t="s">
        <v>136</v>
      </c>
      <c r="D23" t="s">
        <v>131</v>
      </c>
      <c r="E23" t="s">
        <v>135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192</v>
      </c>
      <c r="B24" t="s">
        <v>193</v>
      </c>
      <c r="C24" t="s">
        <v>132</v>
      </c>
      <c r="D24" t="s">
        <v>131</v>
      </c>
      <c r="E24" t="s">
        <v>133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194</v>
      </c>
      <c r="B25" t="s">
        <v>195</v>
      </c>
      <c r="C25" t="s">
        <v>141</v>
      </c>
      <c r="D25" t="s">
        <v>131</v>
      </c>
      <c r="E25" t="s">
        <v>142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196</v>
      </c>
      <c r="B26" t="s">
        <v>197</v>
      </c>
      <c r="C26" t="s">
        <v>134</v>
      </c>
      <c r="D26" t="s">
        <v>131</v>
      </c>
      <c r="E26" t="s">
        <v>135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167</v>
      </c>
      <c r="B27" t="s">
        <v>198</v>
      </c>
      <c r="C27" t="s">
        <v>56</v>
      </c>
      <c r="D27" t="s">
        <v>131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199</v>
      </c>
      <c r="B28" t="s">
        <v>200</v>
      </c>
      <c r="C28" t="s">
        <v>77</v>
      </c>
      <c r="D28" t="s">
        <v>131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201</v>
      </c>
      <c r="B29" t="s">
        <v>202</v>
      </c>
      <c r="C29" t="s">
        <v>77</v>
      </c>
      <c r="D29" t="s">
        <v>131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194</v>
      </c>
      <c r="B30" t="s">
        <v>203</v>
      </c>
      <c r="C30" t="s">
        <v>145</v>
      </c>
      <c r="D30" t="s">
        <v>131</v>
      </c>
      <c r="E30" t="s">
        <v>146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204</v>
      </c>
      <c r="B31" t="s">
        <v>205</v>
      </c>
      <c r="C31" t="s">
        <v>144</v>
      </c>
      <c r="D31" t="s">
        <v>131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206</v>
      </c>
      <c r="B32" t="s">
        <v>207</v>
      </c>
      <c r="C32" t="s">
        <v>77</v>
      </c>
      <c r="D32" t="s">
        <v>131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162</v>
      </c>
      <c r="B33" t="s">
        <v>208</v>
      </c>
      <c r="C33" t="s">
        <v>137</v>
      </c>
      <c r="D33" t="s">
        <v>131</v>
      </c>
      <c r="E33" t="s">
        <v>138</v>
      </c>
      <c r="F33" t="s">
        <v>164</v>
      </c>
      <c r="G33">
        <v>60000</v>
      </c>
      <c r="H33">
        <v>45860</v>
      </c>
      <c r="I33">
        <v>14140</v>
      </c>
    </row>
    <row r="34" spans="1:9" x14ac:dyDescent="0.25">
      <c r="A34" t="s">
        <v>209</v>
      </c>
      <c r="B34" t="s">
        <v>210</v>
      </c>
      <c r="C34" t="s">
        <v>77</v>
      </c>
      <c r="D34" t="s">
        <v>131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162</v>
      </c>
      <c r="B35" t="s">
        <v>211</v>
      </c>
      <c r="C35" t="s">
        <v>137</v>
      </c>
      <c r="D35" t="s">
        <v>131</v>
      </c>
      <c r="E35" t="s">
        <v>138</v>
      </c>
      <c r="F35" t="s">
        <v>164</v>
      </c>
      <c r="G35">
        <v>55780</v>
      </c>
      <c r="H35">
        <v>45860</v>
      </c>
      <c r="I35">
        <v>9920</v>
      </c>
    </row>
    <row r="36" spans="1:9" x14ac:dyDescent="0.25">
      <c r="A36" t="s">
        <v>212</v>
      </c>
      <c r="B36" t="s">
        <v>213</v>
      </c>
      <c r="C36" t="s">
        <v>77</v>
      </c>
      <c r="D36" t="s">
        <v>131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182</v>
      </c>
      <c r="B37" t="s">
        <v>214</v>
      </c>
      <c r="C37" t="s">
        <v>56</v>
      </c>
      <c r="D37" t="s">
        <v>131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165</v>
      </c>
      <c r="B38" t="s">
        <v>215</v>
      </c>
      <c r="C38" t="s">
        <v>144</v>
      </c>
      <c r="D38" t="s">
        <v>131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216</v>
      </c>
      <c r="B39" t="s">
        <v>217</v>
      </c>
      <c r="C39" t="s">
        <v>136</v>
      </c>
      <c r="D39" t="s">
        <v>131</v>
      </c>
      <c r="E39" t="s">
        <v>135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194</v>
      </c>
      <c r="B40" t="s">
        <v>218</v>
      </c>
      <c r="C40" t="s">
        <v>139</v>
      </c>
      <c r="D40" t="s">
        <v>131</v>
      </c>
      <c r="E40" t="s">
        <v>140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219</v>
      </c>
      <c r="B41" t="s">
        <v>220</v>
      </c>
      <c r="C41" t="s">
        <v>77</v>
      </c>
      <c r="D41" t="s">
        <v>131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162</v>
      </c>
      <c r="B42" t="s">
        <v>221</v>
      </c>
      <c r="C42" t="s">
        <v>137</v>
      </c>
      <c r="D42" t="s">
        <v>131</v>
      </c>
      <c r="E42" t="s">
        <v>138</v>
      </c>
      <c r="F42" t="s">
        <v>164</v>
      </c>
      <c r="G42">
        <v>56440</v>
      </c>
      <c r="H42">
        <v>45860</v>
      </c>
      <c r="I42">
        <v>10580</v>
      </c>
    </row>
    <row r="43" spans="1:9" x14ac:dyDescent="0.25">
      <c r="A43" t="s">
        <v>222</v>
      </c>
      <c r="B43" t="s">
        <v>223</v>
      </c>
      <c r="C43" t="s">
        <v>144</v>
      </c>
      <c r="D43" t="s">
        <v>131</v>
      </c>
      <c r="E43" t="s">
        <v>78</v>
      </c>
      <c r="F43" t="s">
        <v>224</v>
      </c>
      <c r="G43">
        <v>78360</v>
      </c>
      <c r="H43">
        <v>32680</v>
      </c>
      <c r="I43">
        <v>45680</v>
      </c>
    </row>
    <row r="44" spans="1:9" x14ac:dyDescent="0.25">
      <c r="A44" t="s">
        <v>225</v>
      </c>
      <c r="B44" t="s">
        <v>226</v>
      </c>
      <c r="C44" t="s">
        <v>77</v>
      </c>
      <c r="D44" t="s">
        <v>131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170</v>
      </c>
      <c r="B45" t="s">
        <v>227</v>
      </c>
      <c r="C45" t="s">
        <v>134</v>
      </c>
      <c r="D45" t="s">
        <v>131</v>
      </c>
      <c r="E45" t="s">
        <v>135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228</v>
      </c>
      <c r="B46" t="s">
        <v>229</v>
      </c>
      <c r="C46" t="s">
        <v>66</v>
      </c>
      <c r="D46" t="s">
        <v>131</v>
      </c>
      <c r="E46" t="s">
        <v>67</v>
      </c>
      <c r="F46"/>
      <c r="G46">
        <v>79580</v>
      </c>
      <c r="H46">
        <v>31420</v>
      </c>
      <c r="I46">
        <v>48160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N12" sqref="N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119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/>
      <c r="B3"/>
      <c r="C3"/>
      <c r="D3"/>
      <c r="E3"/>
      <c r="F3"/>
      <c r="G3"/>
    </row>
    <row r="4" spans="1:7" x14ac:dyDescent="0.25">
      <c r="A4"/>
      <c r="B4"/>
      <c r="C4"/>
      <c r="D4"/>
      <c r="E4">
        <f>SUM(E2:E2)</f>
        <v>10.3249999999999</v>
      </c>
      <c r="F4"/>
      <c r="G4">
        <f>SUM(G2:G2)</f>
        <v>10.3249999999999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7" t="s">
        <v>49</v>
      </c>
      <c r="C2">
        <v>0</v>
      </c>
      <c r="D2">
        <v>0</v>
      </c>
      <c r="E2" s="17" t="s">
        <v>49</v>
      </c>
      <c r="F2" s="17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4"/>
  <sheetViews>
    <sheetView workbookViewId="0">
      <selection activeCell="D23" sqref="D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47</v>
      </c>
      <c r="B1" s="27"/>
      <c r="C1" s="28"/>
      <c r="I1" s="29" t="s">
        <v>32</v>
      </c>
      <c r="J1" s="29"/>
      <c r="K1" s="29"/>
      <c r="L1" s="29"/>
      <c r="M1" s="30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0"/>
    </row>
    <row r="3" spans="1:13" x14ac:dyDescent="0.25">
      <c r="A3" s="20" t="s">
        <v>100</v>
      </c>
      <c r="B3" s="14">
        <v>1326020</v>
      </c>
      <c r="C3" s="14" t="s">
        <v>48</v>
      </c>
      <c r="D3" s="14">
        <v>10011657</v>
      </c>
      <c r="E3" s="14" t="s">
        <v>101</v>
      </c>
      <c r="F3" s="10">
        <v>241200</v>
      </c>
      <c r="G3" s="10">
        <v>67900</v>
      </c>
      <c r="H3" s="10">
        <v>173300</v>
      </c>
      <c r="I3" s="21">
        <v>241300</v>
      </c>
      <c r="J3" s="11"/>
      <c r="K3" s="11">
        <v>947</v>
      </c>
      <c r="L3" s="11"/>
    </row>
    <row r="4" spans="1:13" x14ac:dyDescent="0.25">
      <c r="A4" s="15"/>
      <c r="B4" s="16"/>
      <c r="C4" s="16"/>
      <c r="D4" s="16"/>
      <c r="E4" s="16"/>
      <c r="F4" s="12"/>
      <c r="G4" s="12"/>
      <c r="H4" s="12"/>
      <c r="I4" s="13"/>
      <c r="J4" s="13"/>
      <c r="K4" s="13"/>
      <c r="L4" s="13"/>
    </row>
    <row r="5" spans="1:13" x14ac:dyDescent="0.25">
      <c r="A5" s="20" t="s">
        <v>102</v>
      </c>
      <c r="B5" s="14">
        <v>1325985</v>
      </c>
      <c r="C5" s="14" t="s">
        <v>48</v>
      </c>
      <c r="D5" s="14">
        <v>10011533</v>
      </c>
      <c r="E5" s="14" t="s">
        <v>103</v>
      </c>
      <c r="F5" s="10">
        <v>260900</v>
      </c>
      <c r="G5" s="10">
        <v>66100</v>
      </c>
      <c r="H5" s="10">
        <v>194800</v>
      </c>
      <c r="I5" s="21">
        <v>261050</v>
      </c>
      <c r="J5" s="11"/>
      <c r="K5" s="11" t="s">
        <v>104</v>
      </c>
      <c r="L5" s="11"/>
    </row>
    <row r="6" spans="1:13" x14ac:dyDescent="0.25">
      <c r="A6" s="15"/>
      <c r="B6" s="16"/>
      <c r="C6" s="16"/>
      <c r="D6" s="22" t="s">
        <v>105</v>
      </c>
      <c r="E6" s="22" t="s">
        <v>106</v>
      </c>
      <c r="F6" s="12"/>
      <c r="G6" s="12"/>
      <c r="H6" s="12"/>
      <c r="I6" s="23"/>
      <c r="J6" s="23"/>
      <c r="K6" s="23"/>
      <c r="L6" s="23"/>
    </row>
    <row r="7" spans="1:13" x14ac:dyDescent="0.25">
      <c r="A7" s="20" t="s">
        <v>107</v>
      </c>
      <c r="B7" s="14">
        <v>1390356</v>
      </c>
      <c r="C7" s="14" t="s">
        <v>108</v>
      </c>
      <c r="D7" s="14">
        <v>10011509</v>
      </c>
      <c r="E7" s="14" t="s">
        <v>109</v>
      </c>
      <c r="F7" s="10">
        <v>285250</v>
      </c>
      <c r="G7" s="10">
        <v>65200</v>
      </c>
      <c r="H7" s="10">
        <v>220050</v>
      </c>
      <c r="I7" s="21">
        <v>285750</v>
      </c>
      <c r="J7" s="11"/>
      <c r="K7" s="11">
        <v>508</v>
      </c>
      <c r="L7" s="11"/>
    </row>
    <row r="8" spans="1:13" x14ac:dyDescent="0.25">
      <c r="A8" s="15"/>
      <c r="B8" s="16"/>
      <c r="C8" s="22" t="s">
        <v>110</v>
      </c>
      <c r="D8" s="22" t="s">
        <v>111</v>
      </c>
      <c r="E8" s="16"/>
      <c r="F8" s="12"/>
      <c r="G8" s="12"/>
      <c r="H8" s="12"/>
      <c r="I8" s="13"/>
      <c r="J8" s="13"/>
      <c r="K8" s="13"/>
      <c r="L8" s="13"/>
    </row>
    <row r="9" spans="1:13" x14ac:dyDescent="0.25">
      <c r="A9" s="20" t="s">
        <v>112</v>
      </c>
      <c r="B9" s="14">
        <v>1665601</v>
      </c>
      <c r="C9" s="14" t="s">
        <v>113</v>
      </c>
      <c r="D9" s="14">
        <v>10011509</v>
      </c>
      <c r="E9" s="14" t="s">
        <v>109</v>
      </c>
      <c r="F9" s="10">
        <v>253664</v>
      </c>
      <c r="G9" s="10">
        <v>76853</v>
      </c>
      <c r="H9" s="10">
        <v>176811</v>
      </c>
      <c r="I9" s="21">
        <v>254250</v>
      </c>
      <c r="J9" s="10"/>
      <c r="K9" s="11">
        <v>509</v>
      </c>
      <c r="L9" s="24"/>
    </row>
    <row r="10" spans="1:13" x14ac:dyDescent="0.25">
      <c r="A10" s="15"/>
      <c r="B10" s="16"/>
      <c r="C10" s="16"/>
      <c r="D10" s="16"/>
      <c r="E10" s="16"/>
      <c r="F10" s="12"/>
      <c r="G10" s="12"/>
      <c r="H10" s="12"/>
      <c r="I10" s="13"/>
      <c r="J10" s="12"/>
      <c r="K10" s="13"/>
      <c r="L10" s="25"/>
    </row>
    <row r="11" spans="1:13" x14ac:dyDescent="0.25">
      <c r="A11" s="20" t="s">
        <v>114</v>
      </c>
      <c r="B11" s="14">
        <v>1673950</v>
      </c>
      <c r="C11" s="14" t="s">
        <v>115</v>
      </c>
      <c r="D11" s="14">
        <v>10011414</v>
      </c>
      <c r="E11" s="14" t="s">
        <v>116</v>
      </c>
      <c r="F11" s="10">
        <v>284660</v>
      </c>
      <c r="G11" s="10">
        <v>72800</v>
      </c>
      <c r="H11" s="10">
        <v>211860</v>
      </c>
      <c r="I11" s="21">
        <v>282950</v>
      </c>
      <c r="J11" s="10"/>
      <c r="K11" s="11">
        <v>284</v>
      </c>
      <c r="L11" s="24"/>
    </row>
    <row r="12" spans="1:13" x14ac:dyDescent="0.25">
      <c r="A12" s="15"/>
      <c r="B12" s="16"/>
      <c r="C12" s="16"/>
      <c r="D12" s="22" t="s">
        <v>117</v>
      </c>
      <c r="E12" s="16"/>
      <c r="F12" s="12"/>
      <c r="G12" s="12"/>
      <c r="H12" s="12"/>
      <c r="I12" s="13"/>
      <c r="J12" s="12"/>
      <c r="K12" s="13"/>
      <c r="L12" s="25"/>
    </row>
    <row r="13" spans="1:13" x14ac:dyDescent="0.25">
      <c r="A13" s="20" t="s">
        <v>118</v>
      </c>
      <c r="B13" s="14">
        <v>1673950</v>
      </c>
      <c r="C13" s="14" t="s">
        <v>115</v>
      </c>
      <c r="D13" s="14">
        <v>10011414</v>
      </c>
      <c r="E13" s="14" t="s">
        <v>116</v>
      </c>
      <c r="F13" s="10">
        <v>282800</v>
      </c>
      <c r="G13" s="10">
        <v>76340</v>
      </c>
      <c r="H13" s="10">
        <v>206460</v>
      </c>
      <c r="I13" s="21">
        <v>281000</v>
      </c>
      <c r="J13" s="10"/>
      <c r="K13" s="11">
        <v>285</v>
      </c>
      <c r="L13" s="24"/>
    </row>
    <row r="14" spans="1:13" x14ac:dyDescent="0.25">
      <c r="A14" s="15"/>
      <c r="B14" s="16"/>
      <c r="C14" s="16"/>
      <c r="D14" s="22" t="s">
        <v>117</v>
      </c>
      <c r="E14" s="16"/>
      <c r="F14" s="12"/>
      <c r="G14" s="12"/>
      <c r="H14" s="12"/>
      <c r="I14" s="13"/>
      <c r="J14" s="12"/>
      <c r="K14" s="13"/>
      <c r="L14" s="25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2026-07-02T11:01:04Z</dcterms:modified>
</cp:coreProperties>
</file>