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F56E705-0A70-4642-AD3C-77AB479BD04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<sst xmlns="http://schemas.openxmlformats.org/spreadsheetml/2006/main" count="4625" uniqueCount="542">
  <si>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</si>
  <si>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</si>
  <si>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</si>
  <si>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</si>
  <si>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</si>
  <si>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</si>
  <si>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</si>
  <si>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</si>
  <si>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</si>
  <si>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</si>
  <si>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</si>
  <si>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</si>
  <si>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</si>
  <si>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</si>
  <si>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</si>
  <si>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</si>
  <si>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</si>
  <si>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</si>
  <si>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</si>
  <si>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</si>
  <si>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</si>
  <si>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</si>
  <si>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</si>
  <si>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</si>
  <si>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</si>
  <si>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</si>
  <si>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</si>
  <si>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</si>
  <si>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</si>
  <si>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</si>
  <si>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</si>
  <si>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</si>
  <si>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</si>
  <si>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</si>
  <si>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</si>
  <si>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</si>
  <si>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</si>
  <si>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</si>
  <si>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</si>
  <si>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</si>
  <si>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</si>
  <si>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</si>
  <si>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</si>
  <si>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</si>
  <si>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</si>
  <si>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</si>
  <si>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</si>
  <si>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</si>
  <si>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</si>
  <si>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</si>
  <si>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</si>
  <si>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</si>
  <si>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</si>
  <si>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</si>
  <si>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</si>
  <si>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</si>
  <si>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</si>
  <si>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</si>
  <si>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</si>
  <si>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</si>
  <si>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</si>
  <si>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</si>
  <si>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</si>
  <si>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</si>
  <si>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</si>
  <si>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</si>
  <si>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</si>
  <si>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</si>
  <si>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</si>
  <si>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</si>
  <si>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</si>
  <si>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</si>
  <si>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</si>
  <si>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</si>
  <si>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</si>
  <si>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</si>
  <si>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</si>
  <si>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</si>
  <si>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</si>
  <si>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</si>
  <si>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</si>
  <si>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</si>
  <si>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</si>
  <si>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</si>
  <si>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</si>
  <si>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</si>
  <si>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</si>
  <si>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</si>
  <si>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</si>
  <si>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</si>
  <si>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</si>
  <si>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</si>
  <si>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</si>
  <si>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</si>
  <si>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</si>
  <si>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</si>
  <si>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</si>
  <si>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</si>
  <si>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</si>
  <si>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</si>
  <si>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</si>
  <si>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</si>
  <si>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</si>
  <si>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</si>
  <si>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</si>
  <si>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</si>
  <si>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</si>
  <si>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</si>
  <si>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</si>
  <si>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</si>
  <si>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</si>
  <si>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</si>
  <si>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</si>
  <si>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</si>
  <si>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</si>
  <si>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</si>
  <si>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</si>
  <si>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</si>
  <si>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</si>
  <si>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</si>
  <si>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</si>
  <si>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</si>
  <si>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</si>
  <si>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</si>
  <si>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</si>
  <si>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</si>
  <si>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</si>
  <si>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</si>
  <si>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</si>
  <si>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</si>
  <si>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</si>
  <si>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</si>
  <si>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</si>
  <si>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</si>
  <si>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</si>
  <si>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</si>
  <si>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</si>
  <si>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</si>
  <si>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</si>
  <si>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</si>
  <si>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</si>
  <si>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</si>
  <si>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</si>
  <si>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</si>
  <si>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</si>
  <si>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</si>
  <si>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</si>
  <si>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</si>
  <si>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</si>
  <si>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</si>
  <si>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</si>
  <si>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</si>
  <si>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</si>
  <si>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</si>
  <si>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</si>
  <si>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</si>
  <si>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</si>
  <si>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</si>
  <si>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</si>
  <si>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</si>
  <si>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</si>
  <si>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</si>
  <si>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</si>
  <si>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</si>
  <si>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</si>
  <si>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</si>
  <si>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</si>
  <si>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</si>
  <si>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</si>
  <si>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</si>
  <si>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</si>
  <si>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</si>
  <si>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</si>
  <si>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</si>
  <si>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</si>
  <si>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</si>
  <si>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</si>
  <si>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</si>
  <si>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</si>
  <si>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</si>
  <si>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</si>
  <si>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</si>
  <si>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</si>
  <si>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</si>
  <si>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</si>
  <si>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</si>
  <si>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</si>
  <si>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</si>
  <si>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</si>
  <si>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</si>
  <si>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</si>
  <si>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</si>
  <si>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</si>
  <si>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</si>
  <si>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</si>
  <si>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</si>
  <si>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</si>
  <si>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</si>
  <si>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</si>
  <si>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</si>
  <si>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</si>
  <si>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</si>
  <si>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</si>
  <si>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</si>
  <si>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</si>
  <si>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</si>
  <si>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</si>
  <si>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</si>
  <si>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</si>
  <si>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</si>
  <si>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</si>
  <si>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</si>
  <si>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</si>
  <si>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</si>
  <si>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</si>
  <si>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</si>
  <si>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</si>
  <si>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</si>
  <si>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</si>
  <si>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</si>
  <si>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</si>
  <si>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</si>
  <si>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</si>
  <si>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</si>
  <si>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</si>
  <si>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</si>
  <si>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</si>
  <si>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</si>
  <si>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</si>
  <si>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</si>
  <si>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</si>
  <si>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</si>
  <si>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</si>
  <si>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</si>
  <si>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</si>
  <si>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</si>
  <si>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</si>
  <si>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</si>
  <si>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</si>
  <si>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</si>
  <si>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</si>
  <si>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</si>
  <si>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</si>
  <si>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</si>
  <si>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</si>
  <si>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</si>
  <si>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</si>
  <si>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</si>
  <si>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</si>
  <si>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</si>
  <si>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</si>
  <si>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</si>
  <si>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</si>
  <si>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</si>
  <si>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</si>
  <si>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</si>
  <si>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</si>
  <si>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</si>
  <si>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</si>
  <si>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</si>
  <si>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</si>
  <si>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</si>
  <si>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</si>
  <si>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</si>
  <si>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</si>
  <si>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</si>
  <si>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</si>
  <si>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</si>
  <si>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</si>
  <si>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</si>
  <si>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</si>
  <si>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</si>
  <si>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</si>
  <si>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</si>
  <si>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</si>
  <si>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</si>
  <si>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</si>
  <si>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</si>
  <si>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</si>
  <si>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</si>
  <si>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</si>
  <si>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</si>
  <si>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</si>
  <si>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</si>
  <si>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</si>
  <si>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</si>
  <si>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</si>
  <si>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</si>
  <si>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</si>
  <si>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</si>
  <si>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</si>
  <si>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</si>
  <si>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</si>
  <si>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</si>
  <si>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</si>
  <si>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</si>
  <si>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</si>
  <si>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</si>
  <si>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</si>
  <si>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</si>
  <si>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</si>
  <si>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</si>
  <si>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</si>
  <si>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</si>
  <si>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</si>
  <si>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</si>
  <si>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</si>
  <si>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</si>
  <si>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</si>
  <si>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</si>
  <si>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</si>
  <si>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</si>
  <si>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</si>
  <si>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</si>
  <si>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</si>
  <si>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</si>
  <si>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</si>
  <si>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</si>
  <si>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</si>
  <si>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</si>
  <si>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</si>
  <si>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</si>
  <si>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</si>
  <si>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</si>
  <si>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</si>
  <si>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</si>
  <si>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</si>
  <si>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</si>
  <si>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</si>
  <si>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</si>
  <si>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</si>
  <si>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</si>
  <si>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</si>
  <si>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</si>
  <si>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</si>
  <si>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</si>
  <si>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</si>
  <si>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</si>
  <si>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</si>
  <si>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</si>
  <si>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</si>
  <si>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</si>
  <si>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</si>
  <si>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</si>
  <si>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</si>
  <si>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</si>
  <si>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</si>
  <si>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</si>
  <si>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</si>
  <si>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</si>
  <si>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</si>
  <si>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</si>
  <si>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</si>
  <si>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</si>
  <si>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</si>
  <si>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</si>
  <si>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</si>
  <si>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</si>
  <si>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</si>
  <si>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</si>
  <si>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</si>
  <si>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</si>
  <si>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</si>
  <si>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</si>
  <si>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</si>
  <si>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</si>
  <si>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</si>
  <si>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</si>
  <si>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</si>
  <si>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</si>
  <si>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</si>
  <si>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</si>
  <si>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</si>
  <si>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</si>
  <si>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</si>
  <si>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</si>
  <si>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</si>
  <si>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</si>
  <si>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</si>
  <si>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</si>
  <si>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</si>
  <si>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</si>
  <si>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</si>
  <si>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</si>
  <si>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</si>
  <si>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</si>
  <si>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</si>
  <si>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</si>
  <si>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</si>
  <si>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</si>
  <si>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</si>
  <si>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</si>
  <si>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</si>
  <si>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</si>
  <si>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</si>
  <si>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</si>
  <si>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</si>
  <si>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</si>
  <si>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</si>
  <si>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</si>
  <si>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</si>
  <si>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</si>
  <si>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</si>
  <si>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</si>
  <si>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</si>
  <si>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</si>
  <si>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</si>
  <si>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</si>
  <si>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</si>
  <si>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</si>
  <si>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</si>
  <si>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</si>
  <si>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</si>
  <si>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</si>
  <si>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</si>
  <si>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</si>
  <si>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</si>
  <si>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</si>
  <si>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</si>
  <si>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</si>
  <si>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</si>
  <si>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</si>
  <si>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</si>
  <si>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</si>
  <si>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</si>
  <si>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</si>
  <si>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</si>
  <si>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</si>
  <si>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</si>
  <si>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</si>
  <si>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</si>
  <si>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</si>
  <si>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</si>
  <si>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</si>
  <si>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</si>
  <si>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</si>
  <si>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</si>
  <si>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</si>
  <si>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</si>
  <si>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</si>
  <si>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</si>
  <si>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</si>
  <si>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</si>
  <si>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</si>
  <si>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</si>
  <si>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</si>
  <si>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</si>
  <si>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</si>
  <si>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</si>
  <si>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</si>
  <si>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</si>
  <si>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</si>
  <si>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</si>
  <si>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</si>
  <si>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</si>
  <si>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</si>
  <si>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</si>
  <si>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</si>
  <si>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</si>
  <si>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</si>
  <si>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</si>
  <si>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</si>
  <si>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</si>
  <si>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</si>
  <si>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</si>
  <si>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</si>
  <si>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</si>
  <si>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</si>
  <si>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</si>
  <si>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</si>
  <si>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</si>
  <si>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</si>
  <si>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</si>
  <si>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CLVX804325</t>
  </si>
  <si>
    <t>CLEVELAND CLIFFS</t>
  </si>
  <si>
    <t>S 181 Purchased Scrap</t>
  </si>
  <si>
    <t>CLVX804429</t>
  </si>
  <si>
    <t>--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</si>
  <si>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</si>
  <si>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</si>
  <si>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</si>
  <si>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</si>
  <si>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</si>
  <si>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</si>
  <si>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</si>
  <si>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</si>
  <si>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</si>
  <si>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</si>
  <si>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</si>
  <si>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</si>
  <si>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</si>
  <si>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</si>
  <si>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</si>
  <si>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</si>
  <si>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</si>
  <si>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</si>
  <si>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</si>
  <si>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</si>
  <si>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</si>
  <si>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</si>
  <si>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</si>
  <si>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</si>
  <si>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</si>
  <si>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</si>
  <si>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</si>
  <si>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</si>
  <si>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</si>
  <si>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</si>
  <si>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</si>
  <si>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</si>
  <si>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</si>
  <si>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</si>
  <si>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</si>
  <si>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</si>
  <si>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</si>
  <si>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</si>
  <si>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</si>
  <si>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</si>
  <si>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</si>
  <si>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</si>
  <si>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</si>
  <si>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</si>
  <si>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</si>
  <si>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</si>
  <si>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</si>
  <si>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</si>
  <si>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</si>
  <si>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</si>
  <si>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</si>
  <si>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</si>
  <si>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</si>
  <si>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</si>
  <si>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</si>
  <si>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</si>
  <si>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</si>
  <si>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</si>
  <si>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</si>
  <si>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</si>
  <si>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</si>
  <si>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</si>
  <si>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</si>
  <si>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Empty 9/9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</si>
</sst>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" xfId="0" applyBorder="1"/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0" borderId="0" xfId="0" quotePrefix="1" applyAlignment="1">
      <alignment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243"/>
  <sheetViews>
    <sheetView workbookViewId="0">
      <selection sqref="A1:L1243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253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253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253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253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253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253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253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253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253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253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253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254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254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254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254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254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254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254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254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254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254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254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255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255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255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255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255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255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255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255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255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255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255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256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256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256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257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257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257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257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257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257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257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257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257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257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257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257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258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258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258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258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258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258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258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258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258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258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258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259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259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259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259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259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259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259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259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259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259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259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260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260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260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260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260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260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260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260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260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260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260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261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261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261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262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262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262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262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262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262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262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262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262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263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263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263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263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263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263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263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263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263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263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263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264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264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264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265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265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265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265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265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265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265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265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265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265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266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266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266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266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266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266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266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266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266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266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267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267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268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268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268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268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268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268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268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268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268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268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269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269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269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269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269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269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269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269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269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269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270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270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271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271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271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271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271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271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271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271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271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271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272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272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272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272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272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272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272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272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272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272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272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273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273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272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274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274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274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274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274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274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274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274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274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274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274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274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275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275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275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275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275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275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275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275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275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275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275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276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275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277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278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277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277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277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277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277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277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277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277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277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279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279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279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279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279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279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279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279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279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279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279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280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278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280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280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280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280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280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280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280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280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280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281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281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281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282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279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283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283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283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349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349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281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281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281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281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281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281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281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281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350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278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350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350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350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350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350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350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350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350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350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283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283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283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283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283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283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283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283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283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351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278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351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351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351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351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351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351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351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351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351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352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352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352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352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352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352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352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352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352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352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352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352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353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281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354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278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354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354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354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354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354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354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354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354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354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355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355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355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355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355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355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355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355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355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355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355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355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353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356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278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356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356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356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356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356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356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356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356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356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357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357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357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357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357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357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357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357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357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357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357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357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358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358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359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360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278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360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360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360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360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360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360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360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360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360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361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361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361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361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361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361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361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361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361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361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361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361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362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363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278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363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363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363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363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363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363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363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363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363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364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364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364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364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364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364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364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364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364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364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364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364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365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365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366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278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366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366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366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366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366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366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366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366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366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367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367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367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367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367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367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367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367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367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367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367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367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368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369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369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369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369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369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369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369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369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369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369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369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349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349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349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349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349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349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349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349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349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349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349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370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370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370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370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370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370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370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370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370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370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370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370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371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371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371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371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371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371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371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371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371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371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371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372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372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372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372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372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372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372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372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372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372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373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373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373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373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373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373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373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373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373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373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373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374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374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375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375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375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375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375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375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375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375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375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375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376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376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376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376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376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376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376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376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376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376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376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377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377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378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378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378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378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378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378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378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378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378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379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379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379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380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380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381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381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381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381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381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381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381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381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381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381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381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382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382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382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382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382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382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382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382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382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382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383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383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384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379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379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379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379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379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379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379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379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382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383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383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383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383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383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383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383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385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385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385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385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385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385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385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385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385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385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385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385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386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386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387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387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387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387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387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387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387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387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387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387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387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388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388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388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388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388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388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388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388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388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388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388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387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389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389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389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389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389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389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389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389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389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389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390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390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390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390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390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390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390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390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390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390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390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391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391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392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392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392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392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392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392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392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392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392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392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392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392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393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393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393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393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393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393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393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393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393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393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393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394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394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394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394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394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394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394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394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394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394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395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395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395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395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395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395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395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395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395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395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395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396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396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397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397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397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397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397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397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397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397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397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397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397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397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398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398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398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398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398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398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398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398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398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398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398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399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399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399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399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399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399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399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399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399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399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384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384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384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384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384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384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384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384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384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384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384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400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400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401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401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401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401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401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401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401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401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401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401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401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402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402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402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402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402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402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402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402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402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402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402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403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403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404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404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404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404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404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404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404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404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404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404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404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405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405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405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405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405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405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405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405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405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405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405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406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406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407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407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407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407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407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407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407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407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407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407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407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408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408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408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408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408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408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408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408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408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408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408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409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409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410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410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410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410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410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410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410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410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410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410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410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410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411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412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412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412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412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412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412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412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412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412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412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412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412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280"/>
  <sheetViews>
    <sheetView topLeftCell="F73" workbookViewId="0">
      <selection activeCell="L83" sqref="L83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132601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191</v>
      </c>
      <c r="B109">
        <v>1679427</v>
      </c>
      <c r="E109" t="s">
        <v>113</v>
      </c>
      <c r="F109" t="s">
        <v>191</v>
      </c>
      <c r="G109" t="s">
        <v>284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113</v>
      </c>
      <c r="F110">
        <v>4</v>
      </c>
      <c r="G110" t="s">
        <v>285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113</v>
      </c>
      <c r="F111">
        <v>99268</v>
      </c>
      <c r="G111" t="s">
        <v>286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113</v>
      </c>
      <c r="F112">
        <v>108</v>
      </c>
      <c r="G112" t="s">
        <v>287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113</v>
      </c>
      <c r="F113">
        <v>530</v>
      </c>
      <c r="G113" t="s">
        <v>288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113</v>
      </c>
      <c r="F114">
        <v>495</v>
      </c>
      <c r="G114" t="s">
        <v>289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113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113</v>
      </c>
      <c r="F116">
        <v>151115</v>
      </c>
      <c r="G116" t="s">
        <v>290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113</v>
      </c>
      <c r="F117">
        <v>2003</v>
      </c>
      <c r="G117" t="s">
        <v>291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113</v>
      </c>
      <c r="F118">
        <v>18</v>
      </c>
      <c r="G118" t="s">
        <v>292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113</v>
      </c>
      <c r="F119">
        <v>131101</v>
      </c>
      <c r="G119" t="s">
        <v>293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113</v>
      </c>
      <c r="F120">
        <v>469</v>
      </c>
      <c r="G120" t="s">
        <v>294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113</v>
      </c>
      <c r="F121">
        <v>22603</v>
      </c>
      <c r="G121" t="s">
        <v>295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113</v>
      </c>
      <c r="F122">
        <v>121104</v>
      </c>
      <c r="G122" t="s">
        <v>296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113</v>
      </c>
      <c r="F123">
        <v>311</v>
      </c>
      <c r="G123" t="s">
        <v>297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113</v>
      </c>
      <c r="F124">
        <v>47</v>
      </c>
      <c r="G124" t="s">
        <v>298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113</v>
      </c>
      <c r="F125">
        <v>22531</v>
      </c>
      <c r="G125" t="s">
        <v>299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113</v>
      </c>
      <c r="F126">
        <v>300</v>
      </c>
      <c r="G126" t="s">
        <v>300</v>
      </c>
      <c r="H126">
        <v>52358</v>
      </c>
      <c r="I126">
        <v>10012170</v>
      </c>
      <c r="J126">
        <v>448</v>
      </c>
      <c r="L126" t="s">
        <v>301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113</v>
      </c>
      <c r="F127">
        <v>307</v>
      </c>
      <c r="G127" t="s">
        <v>302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113</v>
      </c>
      <c r="F128">
        <v>22602</v>
      </c>
      <c r="G128" t="s">
        <v>303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113</v>
      </c>
      <c r="F129">
        <v>76</v>
      </c>
      <c r="G129" t="s">
        <v>304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113</v>
      </c>
      <c r="F130">
        <v>409</v>
      </c>
      <c r="G130" t="s">
        <v>305</v>
      </c>
      <c r="H130">
        <v>75795</v>
      </c>
      <c r="I130">
        <v>10011425</v>
      </c>
      <c r="J130" t="s">
        <v>144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113</v>
      </c>
      <c r="F131">
        <v>131105</v>
      </c>
      <c r="G131" t="s">
        <v>306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113</v>
      </c>
      <c r="F132">
        <v>22675</v>
      </c>
      <c r="G132" t="s">
        <v>307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113</v>
      </c>
      <c r="F133">
        <v>11</v>
      </c>
      <c r="G133" t="s">
        <v>308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113</v>
      </c>
      <c r="F134">
        <v>76</v>
      </c>
      <c r="G134" t="s">
        <v>309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113</v>
      </c>
      <c r="F135">
        <v>60</v>
      </c>
      <c r="G135" t="s">
        <v>310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113</v>
      </c>
      <c r="F136">
        <v>31</v>
      </c>
      <c r="G136" t="s">
        <v>311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113</v>
      </c>
      <c r="F137">
        <v>161113</v>
      </c>
      <c r="G137" t="s">
        <v>312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113</v>
      </c>
      <c r="F138">
        <v>123</v>
      </c>
      <c r="G138" t="s">
        <v>313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113</v>
      </c>
      <c r="F139">
        <v>1</v>
      </c>
      <c r="G139" t="s">
        <v>314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113</v>
      </c>
      <c r="F140">
        <v>128</v>
      </c>
      <c r="G140" t="s">
        <v>315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113</v>
      </c>
      <c r="F141">
        <v>55</v>
      </c>
      <c r="G141" t="s">
        <v>316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113</v>
      </c>
      <c r="F142">
        <v>108</v>
      </c>
      <c r="G142" t="s">
        <v>317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113</v>
      </c>
      <c r="F143">
        <v>783</v>
      </c>
      <c r="G143" t="s">
        <v>318</v>
      </c>
      <c r="H143">
        <v>90320261</v>
      </c>
      <c r="I143">
        <v>10011531</v>
      </c>
      <c r="J143" t="s">
        <v>319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113</v>
      </c>
      <c r="F144">
        <v>72</v>
      </c>
      <c r="G144" t="s">
        <v>320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113</v>
      </c>
      <c r="F145">
        <v>151104</v>
      </c>
      <c r="G145" t="s">
        <v>321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113</v>
      </c>
      <c r="F146">
        <v>76</v>
      </c>
      <c r="G146" t="s">
        <v>322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113</v>
      </c>
      <c r="F147" t="s">
        <v>62</v>
      </c>
      <c r="G147" t="s">
        <v>62</v>
      </c>
      <c r="I147">
        <v>10011503</v>
      </c>
      <c r="J147" t="s">
        <v>323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113</v>
      </c>
      <c r="F148">
        <v>38</v>
      </c>
      <c r="G148" t="s">
        <v>324</v>
      </c>
      <c r="H148">
        <v>75796</v>
      </c>
      <c r="I148">
        <v>10011425</v>
      </c>
      <c r="J148" t="s">
        <v>144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113</v>
      </c>
      <c r="F149">
        <v>2023</v>
      </c>
      <c r="G149" t="s">
        <v>325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113</v>
      </c>
      <c r="F150">
        <v>131</v>
      </c>
      <c r="G150" t="s">
        <v>326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113</v>
      </c>
      <c r="F151">
        <v>105</v>
      </c>
      <c r="G151" t="s">
        <v>327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113</v>
      </c>
      <c r="F152">
        <v>161105</v>
      </c>
      <c r="G152" t="s">
        <v>328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113</v>
      </c>
      <c r="F153">
        <v>11</v>
      </c>
      <c r="G153" t="s">
        <v>329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113</v>
      </c>
      <c r="F154">
        <v>22661</v>
      </c>
      <c r="G154" t="s">
        <v>330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113</v>
      </c>
      <c r="F155">
        <v>101115</v>
      </c>
      <c r="G155" t="s">
        <v>331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113</v>
      </c>
      <c r="F156">
        <v>54</v>
      </c>
      <c r="G156" t="s">
        <v>332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113</v>
      </c>
      <c r="F157">
        <v>31</v>
      </c>
      <c r="G157" t="s">
        <v>333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113</v>
      </c>
      <c r="F158">
        <v>22632</v>
      </c>
      <c r="G158" t="s">
        <v>334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113</v>
      </c>
      <c r="F159">
        <v>22532</v>
      </c>
      <c r="G159" t="s">
        <v>335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113</v>
      </c>
      <c r="F160">
        <v>22608</v>
      </c>
      <c r="G160" t="s">
        <v>336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113</v>
      </c>
      <c r="F161">
        <v>22530</v>
      </c>
      <c r="G161" t="s">
        <v>337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113</v>
      </c>
      <c r="F162">
        <v>47</v>
      </c>
      <c r="G162" t="s">
        <v>338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113</v>
      </c>
      <c r="F163">
        <v>22603</v>
      </c>
      <c r="G163" t="s">
        <v>339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113</v>
      </c>
      <c r="F164">
        <v>311</v>
      </c>
      <c r="G164" t="s">
        <v>340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113</v>
      </c>
      <c r="F165">
        <v>315</v>
      </c>
      <c r="G165" t="s">
        <v>341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113</v>
      </c>
      <c r="F166">
        <v>11</v>
      </c>
      <c r="G166" t="s">
        <v>342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113</v>
      </c>
      <c r="F167">
        <v>22690</v>
      </c>
      <c r="G167" t="s">
        <v>343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113</v>
      </c>
      <c r="F168">
        <v>20</v>
      </c>
      <c r="G168" t="s">
        <v>344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113</v>
      </c>
      <c r="F169">
        <v>22602</v>
      </c>
      <c r="G169" t="s">
        <v>345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113</v>
      </c>
      <c r="F170">
        <v>170</v>
      </c>
      <c r="G170" t="s">
        <v>346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113</v>
      </c>
      <c r="F171">
        <v>22663</v>
      </c>
      <c r="G171" t="s">
        <v>347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191</v>
      </c>
      <c r="B172">
        <v>1679427</v>
      </c>
      <c r="E172" t="s">
        <v>113</v>
      </c>
      <c r="F172" t="s">
        <v>191</v>
      </c>
      <c r="G172" t="s">
        <v>413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113</v>
      </c>
      <c r="F173">
        <v>99268</v>
      </c>
      <c r="G173" t="s">
        <v>414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113</v>
      </c>
      <c r="F174">
        <v>22636</v>
      </c>
      <c r="G174" t="s">
        <v>415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113</v>
      </c>
      <c r="F175">
        <v>121104</v>
      </c>
      <c r="G175" t="s">
        <v>416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113</v>
      </c>
      <c r="F176">
        <v>23</v>
      </c>
      <c r="G176" t="s">
        <v>417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113</v>
      </c>
      <c r="F177">
        <v>469</v>
      </c>
      <c r="G177" t="s">
        <v>418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113</v>
      </c>
      <c r="F178">
        <v>409</v>
      </c>
      <c r="G178" t="s">
        <v>419</v>
      </c>
      <c r="H178">
        <v>75805</v>
      </c>
      <c r="I178">
        <v>10011425</v>
      </c>
      <c r="J178" t="s">
        <v>144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113</v>
      </c>
      <c r="F179">
        <v>76</v>
      </c>
      <c r="G179" t="s">
        <v>420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113</v>
      </c>
      <c r="F180">
        <v>47</v>
      </c>
      <c r="G180" t="s">
        <v>421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113</v>
      </c>
      <c r="F181">
        <v>312</v>
      </c>
      <c r="G181" t="s">
        <v>422</v>
      </c>
      <c r="H181">
        <v>52364</v>
      </c>
      <c r="I181">
        <v>10012170</v>
      </c>
      <c r="J181">
        <v>448</v>
      </c>
      <c r="L181" t="s">
        <v>423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113</v>
      </c>
      <c r="F182">
        <v>307</v>
      </c>
      <c r="G182" t="s">
        <v>424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113</v>
      </c>
      <c r="F183">
        <v>19</v>
      </c>
      <c r="G183" t="s">
        <v>425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113</v>
      </c>
      <c r="F184">
        <v>107</v>
      </c>
      <c r="G184" t="s">
        <v>426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113</v>
      </c>
      <c r="F185">
        <v>22531</v>
      </c>
      <c r="G185" t="s">
        <v>427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113</v>
      </c>
      <c r="F186">
        <v>161113</v>
      </c>
      <c r="G186" t="s">
        <v>428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113</v>
      </c>
      <c r="F187">
        <v>1776</v>
      </c>
      <c r="G187" t="s">
        <v>429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113</v>
      </c>
      <c r="F188">
        <v>315</v>
      </c>
      <c r="G188" t="s">
        <v>430</v>
      </c>
      <c r="H188">
        <v>52360</v>
      </c>
      <c r="I188">
        <v>10012170</v>
      </c>
      <c r="J188">
        <v>448</v>
      </c>
      <c r="L188" t="s">
        <v>431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113</v>
      </c>
      <c r="F189" t="s">
        <v>56</v>
      </c>
      <c r="G189" t="s">
        <v>56</v>
      </c>
      <c r="I189">
        <v>10011503</v>
      </c>
      <c r="J189" t="s">
        <v>432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113</v>
      </c>
      <c r="F190" t="s">
        <v>57</v>
      </c>
      <c r="G190" t="s">
        <v>57</v>
      </c>
      <c r="I190">
        <v>10011509</v>
      </c>
      <c r="J190" t="s">
        <v>230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113</v>
      </c>
      <c r="F191">
        <v>386</v>
      </c>
      <c r="G191" t="s">
        <v>433</v>
      </c>
      <c r="H191">
        <v>49104</v>
      </c>
      <c r="I191">
        <v>10031009</v>
      </c>
      <c r="J191">
        <v>961</v>
      </c>
      <c r="L191" t="s">
        <v>434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113</v>
      </c>
      <c r="F192">
        <v>141</v>
      </c>
      <c r="G192" t="s">
        <v>435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113</v>
      </c>
      <c r="F193">
        <v>59</v>
      </c>
      <c r="G193" t="s">
        <v>436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113</v>
      </c>
      <c r="F194">
        <v>783</v>
      </c>
      <c r="G194" t="s">
        <v>437</v>
      </c>
      <c r="H194">
        <v>90420261</v>
      </c>
      <c r="I194">
        <v>10011669</v>
      </c>
      <c r="J194" t="s">
        <v>135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113</v>
      </c>
      <c r="F195">
        <v>42</v>
      </c>
      <c r="G195" t="s">
        <v>438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113</v>
      </c>
      <c r="F196">
        <v>11</v>
      </c>
      <c r="G196" t="s">
        <v>439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113</v>
      </c>
      <c r="F197">
        <v>2023</v>
      </c>
      <c r="G197" t="s">
        <v>440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113</v>
      </c>
      <c r="F198">
        <v>108</v>
      </c>
      <c r="G198" t="s">
        <v>441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113</v>
      </c>
      <c r="F199">
        <v>11</v>
      </c>
      <c r="G199" t="s">
        <v>442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113</v>
      </c>
      <c r="F200">
        <v>1</v>
      </c>
      <c r="G200" t="s">
        <v>443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113</v>
      </c>
      <c r="F201">
        <v>23</v>
      </c>
      <c r="G201" t="s">
        <v>444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113</v>
      </c>
      <c r="F202">
        <v>128</v>
      </c>
      <c r="G202" t="s">
        <v>445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113</v>
      </c>
      <c r="F203">
        <v>105</v>
      </c>
      <c r="G203" t="s">
        <v>446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113</v>
      </c>
      <c r="F204">
        <v>19</v>
      </c>
      <c r="G204" t="s">
        <v>447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113</v>
      </c>
      <c r="F205">
        <v>783</v>
      </c>
      <c r="G205" t="s">
        <v>448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113</v>
      </c>
      <c r="F206">
        <v>107</v>
      </c>
      <c r="G206" t="s">
        <v>449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113</v>
      </c>
      <c r="F207">
        <v>22636</v>
      </c>
      <c r="G207" t="s">
        <v>450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113</v>
      </c>
      <c r="F208">
        <v>101115</v>
      </c>
      <c r="G208" t="s">
        <v>451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113</v>
      </c>
      <c r="F209">
        <v>72</v>
      </c>
      <c r="G209" t="s">
        <v>452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113</v>
      </c>
      <c r="F210">
        <v>22530</v>
      </c>
      <c r="G210" t="s">
        <v>453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113</v>
      </c>
      <c r="F211">
        <v>1776</v>
      </c>
      <c r="G211" t="s">
        <v>454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113</v>
      </c>
      <c r="F212">
        <v>22603</v>
      </c>
      <c r="G212" t="s">
        <v>455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113</v>
      </c>
      <c r="F213">
        <v>161105</v>
      </c>
      <c r="G213" t="s">
        <v>456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113</v>
      </c>
      <c r="F214">
        <v>22532</v>
      </c>
      <c r="G214" t="s">
        <v>457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113</v>
      </c>
      <c r="F215">
        <v>22690</v>
      </c>
      <c r="G215" t="s">
        <v>458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113</v>
      </c>
      <c r="F216">
        <v>22632</v>
      </c>
      <c r="G216" t="s">
        <v>459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113</v>
      </c>
      <c r="F217">
        <v>311</v>
      </c>
      <c r="G217" t="s">
        <v>460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113</v>
      </c>
      <c r="F218">
        <v>22608</v>
      </c>
      <c r="G218" t="s">
        <v>461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113</v>
      </c>
      <c r="F219">
        <v>22663</v>
      </c>
      <c r="G219" t="s">
        <v>462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113</v>
      </c>
      <c r="F220">
        <v>307</v>
      </c>
      <c r="G220" t="s">
        <v>463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113</v>
      </c>
      <c r="F221">
        <v>22602</v>
      </c>
      <c r="G221" t="s">
        <v>464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113</v>
      </c>
      <c r="F222">
        <v>315</v>
      </c>
      <c r="G222" t="s">
        <v>465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113</v>
      </c>
      <c r="F223">
        <v>23</v>
      </c>
      <c r="G223" t="s">
        <v>466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113</v>
      </c>
      <c r="F224">
        <v>72</v>
      </c>
      <c r="G224" t="s">
        <v>467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191</v>
      </c>
      <c r="B225">
        <v>1679427</v>
      </c>
      <c r="E225" t="s">
        <v>113</v>
      </c>
      <c r="F225" t="s">
        <v>191</v>
      </c>
      <c r="G225" t="s">
        <v>468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113</v>
      </c>
      <c r="F226">
        <v>72</v>
      </c>
      <c r="G226" t="s">
        <v>469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113</v>
      </c>
      <c r="F227">
        <v>386</v>
      </c>
      <c r="G227" t="s">
        <v>470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113</v>
      </c>
      <c r="F228">
        <v>70</v>
      </c>
      <c r="G228" t="s">
        <v>471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113</v>
      </c>
      <c r="F229">
        <v>72</v>
      </c>
      <c r="G229" t="s">
        <v>472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113</v>
      </c>
      <c r="F230">
        <v>47</v>
      </c>
      <c r="G230" t="s">
        <v>486</v>
      </c>
      <c r="H230">
        <v>75807</v>
      </c>
      <c r="I230">
        <v>10011425</v>
      </c>
      <c r="J230" t="s">
        <v>144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113</v>
      </c>
      <c r="F231">
        <v>99268</v>
      </c>
      <c r="G231" t="s">
        <v>487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113</v>
      </c>
      <c r="F232">
        <v>530</v>
      </c>
      <c r="G232" t="s">
        <v>488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113</v>
      </c>
      <c r="F233">
        <v>495</v>
      </c>
      <c r="G233" t="s">
        <v>489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113</v>
      </c>
      <c r="F234">
        <v>490</v>
      </c>
      <c r="G234" t="s">
        <v>490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113</v>
      </c>
      <c r="F235">
        <v>121104</v>
      </c>
      <c r="G235" t="s">
        <v>491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113</v>
      </c>
      <c r="F236">
        <v>17</v>
      </c>
      <c r="G236" t="s">
        <v>492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113</v>
      </c>
      <c r="F237">
        <v>57</v>
      </c>
      <c r="G237" t="s">
        <v>493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113</v>
      </c>
      <c r="F238">
        <v>161113</v>
      </c>
      <c r="G238" t="s">
        <v>494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113</v>
      </c>
      <c r="F239">
        <v>469</v>
      </c>
      <c r="G239" t="s">
        <v>495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113</v>
      </c>
      <c r="F240">
        <v>1718</v>
      </c>
      <c r="G240" t="s">
        <v>496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113</v>
      </c>
      <c r="F241">
        <v>22531</v>
      </c>
      <c r="G241" t="s">
        <v>497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113</v>
      </c>
      <c r="F242">
        <v>131</v>
      </c>
      <c r="G242" t="s">
        <v>498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113</v>
      </c>
      <c r="F243">
        <v>19</v>
      </c>
      <c r="G243" t="s">
        <v>499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113</v>
      </c>
      <c r="F244">
        <v>43</v>
      </c>
      <c r="G244" t="s">
        <v>500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113</v>
      </c>
      <c r="F245">
        <v>916</v>
      </c>
      <c r="G245" t="s">
        <v>501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113</v>
      </c>
      <c r="F246">
        <v>55</v>
      </c>
      <c r="G246" t="s">
        <v>502</v>
      </c>
      <c r="H246">
        <v>9042</v>
      </c>
      <c r="I246">
        <v>10011513</v>
      </c>
      <c r="J246">
        <v>432</v>
      </c>
      <c r="L246" t="s">
        <v>503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113</v>
      </c>
      <c r="F247">
        <v>55</v>
      </c>
      <c r="G247" t="s">
        <v>504</v>
      </c>
      <c r="H247">
        <v>9041</v>
      </c>
      <c r="I247">
        <v>10011513</v>
      </c>
      <c r="J247">
        <v>432</v>
      </c>
      <c r="L247" t="s">
        <v>505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113</v>
      </c>
      <c r="F248">
        <v>31</v>
      </c>
      <c r="G248" t="s">
        <v>506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113</v>
      </c>
      <c r="F249">
        <v>23</v>
      </c>
      <c r="G249" t="s">
        <v>507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113</v>
      </c>
      <c r="F250">
        <v>1718</v>
      </c>
      <c r="G250" t="s">
        <v>508</v>
      </c>
      <c r="H250">
        <v>27920</v>
      </c>
      <c r="I250">
        <v>10011512</v>
      </c>
      <c r="J250" t="s">
        <v>509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113</v>
      </c>
      <c r="F251">
        <v>123</v>
      </c>
      <c r="G251" t="s">
        <v>510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113</v>
      </c>
      <c r="F252">
        <v>126</v>
      </c>
      <c r="G252" t="s">
        <v>511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113</v>
      </c>
      <c r="F253">
        <v>1776</v>
      </c>
      <c r="G253" t="s">
        <v>512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113</v>
      </c>
      <c r="F254">
        <v>106</v>
      </c>
      <c r="G254" t="s">
        <v>513</v>
      </c>
      <c r="H254">
        <v>161208</v>
      </c>
      <c r="I254">
        <v>10011414</v>
      </c>
      <c r="J254">
        <v>281</v>
      </c>
      <c r="L254" t="s">
        <v>514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113</v>
      </c>
      <c r="F255">
        <v>1718</v>
      </c>
      <c r="G255" t="s">
        <v>515</v>
      </c>
      <c r="H255">
        <v>27924</v>
      </c>
      <c r="I255">
        <v>10011512</v>
      </c>
      <c r="J255" t="s">
        <v>509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113</v>
      </c>
      <c r="F256">
        <v>1718</v>
      </c>
      <c r="G256" t="s">
        <v>516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113</v>
      </c>
      <c r="F257">
        <v>108</v>
      </c>
      <c r="G257" t="s">
        <v>517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113</v>
      </c>
      <c r="F258">
        <v>105</v>
      </c>
      <c r="G258" t="s">
        <v>518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113</v>
      </c>
      <c r="F259">
        <v>1718</v>
      </c>
      <c r="G259" t="s">
        <v>519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113</v>
      </c>
      <c r="F260">
        <v>666</v>
      </c>
      <c r="G260" t="s">
        <v>520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113</v>
      </c>
      <c r="F261">
        <v>2023</v>
      </c>
      <c r="G261" t="s">
        <v>521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113</v>
      </c>
      <c r="F262">
        <v>1201</v>
      </c>
      <c r="G262" t="s">
        <v>522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113</v>
      </c>
      <c r="F263">
        <v>128</v>
      </c>
      <c r="G263" t="s">
        <v>523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113</v>
      </c>
      <c r="F264">
        <v>55</v>
      </c>
      <c r="G264" t="s">
        <v>524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113</v>
      </c>
      <c r="F265">
        <v>38</v>
      </c>
      <c r="G265" t="s">
        <v>525</v>
      </c>
      <c r="H265">
        <v>75813</v>
      </c>
      <c r="I265">
        <v>10011425</v>
      </c>
      <c r="J265" t="s">
        <v>144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113</v>
      </c>
      <c r="F266">
        <v>1718</v>
      </c>
      <c r="G266" t="s">
        <v>526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113</v>
      </c>
      <c r="F267">
        <v>1201</v>
      </c>
      <c r="G267" t="s">
        <v>527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113</v>
      </c>
      <c r="F268">
        <v>1</v>
      </c>
      <c r="G268" t="s">
        <v>528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113</v>
      </c>
      <c r="F269">
        <v>1201</v>
      </c>
      <c r="G269" t="s">
        <v>529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113</v>
      </c>
      <c r="F270">
        <v>31</v>
      </c>
      <c r="G270" t="s">
        <v>530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113</v>
      </c>
      <c r="F271">
        <v>1718</v>
      </c>
      <c r="G271" t="s">
        <v>531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113</v>
      </c>
      <c r="F272">
        <v>707</v>
      </c>
      <c r="G272" t="s">
        <v>532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113</v>
      </c>
      <c r="F273">
        <v>107</v>
      </c>
      <c r="G273" t="s">
        <v>533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113</v>
      </c>
      <c r="F274">
        <v>126</v>
      </c>
      <c r="G274" t="s">
        <v>534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113</v>
      </c>
      <c r="F275">
        <v>12001</v>
      </c>
      <c r="G275" t="s">
        <v>535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113</v>
      </c>
      <c r="F276">
        <v>1718</v>
      </c>
      <c r="G276" t="s">
        <v>536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113</v>
      </c>
      <c r="F277">
        <v>19</v>
      </c>
      <c r="G277" t="s">
        <v>537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113</v>
      </c>
      <c r="F278">
        <v>1201</v>
      </c>
      <c r="G278" t="s">
        <v>538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113</v>
      </c>
      <c r="F279">
        <v>23</v>
      </c>
      <c r="G279" t="s">
        <v>539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113</v>
      </c>
      <c r="F280">
        <v>70</v>
      </c>
      <c r="G280" t="s">
        <v>540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A2" sqref="A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46269</v>
      </c>
      <c r="B3">
        <v>54750</v>
      </c>
      <c r="C3" t="s">
        <v>166</v>
      </c>
      <c r="D3">
        <v>321</v>
      </c>
      <c r="E3">
        <v>27.375</v>
      </c>
      <c r="F3">
        <v>5</v>
      </c>
      <c r="G3">
        <v>136.875</v>
      </c>
    </row>
    <row r="5" spans="1:7" x14ac:dyDescent="0.25">
      <c r="E5">
        <f>SUM(E2:E3)</f>
        <v>60.325000000000003</v>
      </c>
      <c r="G5">
        <f>SUM(G2:G3)</f>
        <v>301.625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6"/>
  <sheetViews>
    <sheetView tabSelected="1" topLeftCell="A21" zoomScaleNormal="100" workbookViewId="0">
      <selection activeCell="F36" sqref="F3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8" t="s">
        <v>25</v>
      </c>
      <c r="B1" s="49"/>
      <c r="C1" s="50"/>
      <c r="I1" s="51" t="s">
        <v>24</v>
      </c>
      <c r="J1" s="51"/>
      <c r="K1" s="51"/>
      <c r="L1" s="51"/>
      <c r="M1" s="52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52"/>
    </row>
    <row r="3" spans="1:13" x14ac:dyDescent="0.25">
      <c r="A3" s="64" t="s">
        <v>49</v>
      </c>
      <c r="B3" s="54">
        <v>1326020</v>
      </c>
      <c r="C3" s="55" t="s">
        <v>50</v>
      </c>
      <c r="D3" s="55">
        <v>10011657</v>
      </c>
      <c r="E3" s="55" t="s">
        <v>75</v>
      </c>
      <c r="F3" s="54">
        <v>266600</v>
      </c>
      <c r="G3" s="54">
        <v>60600</v>
      </c>
      <c r="H3" s="54">
        <v>206000</v>
      </c>
      <c r="I3" s="65">
        <v>266350</v>
      </c>
      <c r="J3" s="66">
        <v>60750</v>
      </c>
      <c r="K3" s="67">
        <v>947</v>
      </c>
      <c r="L3" s="59" t="s">
        <v>35</v>
      </c>
    </row>
    <row r="4" spans="1:13" x14ac:dyDescent="0.25">
      <c r="A4" s="68"/>
      <c r="B4" s="69"/>
      <c r="C4" s="61" t="s">
        <v>26</v>
      </c>
      <c r="D4" s="69" t="s">
        <v>66</v>
      </c>
      <c r="E4" s="69"/>
      <c r="F4" s="70"/>
      <c r="G4" s="70"/>
      <c r="H4" s="70"/>
      <c r="I4" s="71"/>
      <c r="J4" s="70"/>
      <c r="K4" s="71"/>
      <c r="L4" s="59" t="s">
        <v>541</v>
      </c>
    </row>
    <row r="5" spans="1:13" x14ac:dyDescent="0.25">
      <c r="A5" s="37" t="s">
        <v>51</v>
      </c>
      <c r="B5" s="38">
        <v>1668373</v>
      </c>
      <c r="C5" s="39" t="s">
        <v>41</v>
      </c>
      <c r="D5" s="38">
        <v>10011503</v>
      </c>
      <c r="E5" s="39" t="s">
        <v>29</v>
      </c>
      <c r="F5" s="40">
        <v>260080</v>
      </c>
      <c r="G5" s="40">
        <v>58740</v>
      </c>
      <c r="H5" s="40">
        <v>201340</v>
      </c>
      <c r="I5" s="41">
        <v>259300</v>
      </c>
      <c r="J5" s="42">
        <v>59750</v>
      </c>
      <c r="K5" s="43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6"/>
      <c r="J6" s="15"/>
      <c r="K6" s="36"/>
      <c r="L6" s="17" t="s">
        <v>165</v>
      </c>
    </row>
    <row r="7" spans="1:13" x14ac:dyDescent="0.25">
      <c r="A7" s="53" t="s">
        <v>52</v>
      </c>
      <c r="B7" s="54">
        <v>1325985</v>
      </c>
      <c r="C7" s="55" t="s">
        <v>50</v>
      </c>
      <c r="D7" s="55">
        <v>10011533</v>
      </c>
      <c r="E7" s="55" t="s">
        <v>76</v>
      </c>
      <c r="F7" s="54">
        <v>276800</v>
      </c>
      <c r="G7" s="54">
        <v>65300</v>
      </c>
      <c r="H7" s="54">
        <v>211500</v>
      </c>
      <c r="I7" s="56">
        <v>276150</v>
      </c>
      <c r="J7" s="57">
        <v>71200</v>
      </c>
      <c r="K7" s="58" t="s">
        <v>77</v>
      </c>
      <c r="L7" s="59" t="s">
        <v>35</v>
      </c>
    </row>
    <row r="8" spans="1:13" x14ac:dyDescent="0.25">
      <c r="A8" s="53"/>
      <c r="B8" s="60"/>
      <c r="C8" s="61" t="s">
        <v>26</v>
      </c>
      <c r="D8" s="62" t="s">
        <v>45</v>
      </c>
      <c r="E8" s="62" t="s">
        <v>78</v>
      </c>
      <c r="F8" s="60"/>
      <c r="G8" s="60"/>
      <c r="H8" s="60"/>
      <c r="I8" s="63"/>
      <c r="J8" s="60"/>
      <c r="K8" s="63"/>
      <c r="L8" s="59" t="s">
        <v>541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4">
        <v>259850</v>
      </c>
      <c r="J9" s="12">
        <v>59150</v>
      </c>
      <c r="K9" s="35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6"/>
      <c r="J10" s="15"/>
      <c r="K10" s="36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4">
        <v>259900</v>
      </c>
      <c r="J11" s="12">
        <v>59400</v>
      </c>
      <c r="K11" s="35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6"/>
      <c r="J12" s="15"/>
      <c r="K12" s="36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4">
        <v>259050</v>
      </c>
      <c r="J13" s="12">
        <v>59700</v>
      </c>
      <c r="K13" s="35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6"/>
      <c r="J14" s="15"/>
      <c r="K14" s="36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4">
        <v>259700</v>
      </c>
      <c r="J15" s="12">
        <v>59400</v>
      </c>
      <c r="K15" s="35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6"/>
      <c r="J16" s="15"/>
      <c r="K16" s="36"/>
      <c r="L16" s="17" t="s">
        <v>348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4">
        <v>262250</v>
      </c>
      <c r="J17" s="12">
        <v>62100</v>
      </c>
      <c r="K17" s="35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6"/>
      <c r="J18" s="15"/>
      <c r="K18" s="36"/>
      <c r="L18" s="17" t="s">
        <v>348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4">
        <v>214850</v>
      </c>
      <c r="J19" s="12">
        <v>70700</v>
      </c>
      <c r="K19" s="35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6"/>
      <c r="J20" s="15"/>
      <c r="K20" s="36"/>
      <c r="L20" s="17" t="s">
        <v>541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4">
        <v>258500</v>
      </c>
      <c r="J21" s="12">
        <v>79600</v>
      </c>
      <c r="K21" s="35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6"/>
      <c r="J22" s="15"/>
      <c r="K22" s="36"/>
      <c r="L22" s="17" t="s">
        <v>541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4">
        <v>266450</v>
      </c>
      <c r="J23" s="12">
        <v>63900</v>
      </c>
      <c r="K23" s="35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6"/>
      <c r="J24" s="15"/>
      <c r="K24" s="36"/>
      <c r="L24" s="17" t="s">
        <v>165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4">
        <v>284900</v>
      </c>
      <c r="J25" s="12">
        <v>75450</v>
      </c>
      <c r="K25" s="35">
        <v>402</v>
      </c>
      <c r="L25" s="59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6"/>
      <c r="J26" s="15"/>
      <c r="K26" s="36"/>
      <c r="L26" s="59" t="s">
        <v>541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4">
        <v>201700</v>
      </c>
      <c r="J27" s="12">
        <v>77350</v>
      </c>
      <c r="K27" s="35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6"/>
      <c r="J28" s="15"/>
      <c r="K28" s="36"/>
      <c r="L28" s="17" t="s">
        <v>252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4">
        <v>283750</v>
      </c>
      <c r="J29" s="12">
        <v>65800</v>
      </c>
      <c r="K29" s="35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6"/>
      <c r="J30" s="15"/>
      <c r="K30" s="44"/>
      <c r="L30" s="17" t="s">
        <v>252</v>
      </c>
    </row>
    <row r="31" spans="1:12" x14ac:dyDescent="0.25">
      <c r="A31" s="8" t="s">
        <v>473</v>
      </c>
      <c r="B31" s="9">
        <v>1326015</v>
      </c>
      <c r="C31" s="10" t="s">
        <v>474</v>
      </c>
      <c r="D31" s="9">
        <v>10011558</v>
      </c>
      <c r="E31" s="10" t="s">
        <v>475</v>
      </c>
      <c r="F31" s="11">
        <v>262800</v>
      </c>
      <c r="G31" s="11">
        <v>67800</v>
      </c>
      <c r="H31" s="11">
        <v>195000</v>
      </c>
      <c r="I31" s="34">
        <v>263700</v>
      </c>
      <c r="J31" s="12">
        <v>70550</v>
      </c>
      <c r="K31" s="35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6"/>
      <c r="J32" s="15"/>
      <c r="K32" s="36"/>
      <c r="L32" s="17" t="s">
        <v>541</v>
      </c>
    </row>
    <row r="33" spans="1:12" x14ac:dyDescent="0.25">
      <c r="A33" s="21" t="s">
        <v>476</v>
      </c>
      <c r="B33" s="45" t="s">
        <v>477</v>
      </c>
      <c r="C33" s="46" t="s">
        <v>474</v>
      </c>
      <c r="D33" s="45" t="s">
        <v>477</v>
      </c>
      <c r="E33" s="45" t="s">
        <v>477</v>
      </c>
      <c r="F33" s="45" t="s">
        <v>477</v>
      </c>
      <c r="G33" s="45" t="s">
        <v>477</v>
      </c>
      <c r="H33" s="45" t="s">
        <v>477</v>
      </c>
      <c r="I33" s="31">
        <v>253250</v>
      </c>
      <c r="K33" s="27"/>
      <c r="L33" s="26"/>
    </row>
    <row r="34" spans="1:12" x14ac:dyDescent="0.25">
      <c r="A34" s="21"/>
      <c r="C34" s="47" t="s">
        <v>26</v>
      </c>
      <c r="D34" s="32" t="s">
        <v>45</v>
      </c>
      <c r="I34" s="27"/>
      <c r="K34" s="27"/>
      <c r="L34" s="26"/>
    </row>
    <row r="35" spans="1:12" x14ac:dyDescent="0.25">
      <c r="A35" s="8" t="s">
        <v>478</v>
      </c>
      <c r="B35" s="9">
        <v>1437870</v>
      </c>
      <c r="C35" s="10" t="s">
        <v>479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4">
        <v>259600</v>
      </c>
      <c r="J35" s="12">
        <v>60300</v>
      </c>
      <c r="K35" s="35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6"/>
      <c r="J36" s="15"/>
      <c r="K36" s="36"/>
      <c r="L36" s="17" t="s">
        <v>541</v>
      </c>
    </row>
    <row r="37" spans="1:12" x14ac:dyDescent="0.25">
      <c r="A37" s="22" t="s">
        <v>480</v>
      </c>
      <c r="B37" s="23">
        <v>1692221</v>
      </c>
      <c r="C37" s="24" t="s">
        <v>47</v>
      </c>
      <c r="D37" s="23">
        <v>10011509</v>
      </c>
      <c r="E37" s="24" t="s">
        <v>30</v>
      </c>
      <c r="F37" s="25">
        <v>236203</v>
      </c>
      <c r="G37" s="25">
        <v>70636</v>
      </c>
      <c r="H37" s="25">
        <v>165567</v>
      </c>
      <c r="I37" s="33">
        <v>237900</v>
      </c>
    </row>
    <row r="38" spans="1:12" x14ac:dyDescent="0.25">
      <c r="A38" s="19"/>
      <c r="B38" s="20"/>
      <c r="C38" s="29" t="s">
        <v>48</v>
      </c>
      <c r="D38" s="30" t="s">
        <v>46</v>
      </c>
      <c r="E38" s="20"/>
      <c r="F38" s="20"/>
      <c r="G38" s="20"/>
      <c r="H38" s="20"/>
      <c r="I38" s="28"/>
    </row>
    <row r="39" spans="1:12" x14ac:dyDescent="0.25">
      <c r="A39" s="22" t="s">
        <v>481</v>
      </c>
      <c r="B39" s="23">
        <v>1692202</v>
      </c>
      <c r="C39" s="24" t="s">
        <v>47</v>
      </c>
      <c r="D39" s="23">
        <v>10011503</v>
      </c>
      <c r="E39" s="24" t="s">
        <v>29</v>
      </c>
      <c r="F39" s="25">
        <v>248417</v>
      </c>
      <c r="G39" s="25">
        <v>70548</v>
      </c>
      <c r="H39" s="25">
        <v>177869</v>
      </c>
      <c r="I39" s="33">
        <v>249850</v>
      </c>
    </row>
    <row r="40" spans="1:12" x14ac:dyDescent="0.25">
      <c r="A40" s="19"/>
      <c r="B40" s="20"/>
      <c r="C40" s="29" t="s">
        <v>48</v>
      </c>
      <c r="D40" s="30" t="s">
        <v>485</v>
      </c>
      <c r="E40" s="20"/>
      <c r="F40" s="20"/>
      <c r="G40" s="20"/>
      <c r="H40" s="20"/>
      <c r="I40" s="28"/>
    </row>
    <row r="41" spans="1:12" x14ac:dyDescent="0.25">
      <c r="A41" s="22" t="s">
        <v>482</v>
      </c>
      <c r="B41" s="23">
        <v>1692195</v>
      </c>
      <c r="C41" s="24" t="s">
        <v>47</v>
      </c>
      <c r="D41" s="23">
        <v>10011558</v>
      </c>
      <c r="E41" s="24" t="s">
        <v>475</v>
      </c>
      <c r="F41" s="25">
        <v>253355</v>
      </c>
      <c r="G41" s="25">
        <v>70724</v>
      </c>
      <c r="H41" s="25">
        <v>182631</v>
      </c>
      <c r="I41" s="33">
        <v>255150</v>
      </c>
    </row>
    <row r="42" spans="1:12" x14ac:dyDescent="0.25">
      <c r="A42" s="19"/>
      <c r="B42" s="20"/>
      <c r="C42" s="29" t="s">
        <v>48</v>
      </c>
      <c r="D42" s="30" t="s">
        <v>485</v>
      </c>
      <c r="E42" s="20"/>
      <c r="F42" s="20"/>
      <c r="G42" s="20"/>
      <c r="H42" s="20"/>
      <c r="I42" s="28"/>
    </row>
    <row r="43" spans="1:12" x14ac:dyDescent="0.25">
      <c r="A43" s="8" t="s">
        <v>483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4">
        <v>248350</v>
      </c>
      <c r="J43" s="12">
        <v>68850</v>
      </c>
      <c r="K43" s="35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485</v>
      </c>
      <c r="E44" s="15"/>
      <c r="F44" s="15"/>
      <c r="G44" s="15"/>
      <c r="H44" s="15"/>
      <c r="I44" s="36"/>
      <c r="J44" s="15"/>
      <c r="K44" s="36"/>
      <c r="L44" s="17" t="s">
        <v>541</v>
      </c>
    </row>
    <row r="45" spans="1:12" x14ac:dyDescent="0.25">
      <c r="A45" s="22" t="s">
        <v>484</v>
      </c>
      <c r="B45" s="23">
        <v>1692221</v>
      </c>
      <c r="C45" s="24" t="s">
        <v>47</v>
      </c>
      <c r="D45" s="23">
        <v>10011509</v>
      </c>
      <c r="E45" s="24" t="s">
        <v>30</v>
      </c>
      <c r="F45" s="25">
        <v>236512</v>
      </c>
      <c r="G45" s="25">
        <v>70592</v>
      </c>
      <c r="H45" s="25">
        <v>165920</v>
      </c>
      <c r="I45" s="33">
        <v>238350</v>
      </c>
    </row>
    <row r="46" spans="1:12" x14ac:dyDescent="0.25">
      <c r="A46" s="19"/>
      <c r="B46" s="20"/>
      <c r="C46" s="29" t="s">
        <v>48</v>
      </c>
      <c r="D46" s="30" t="s">
        <v>485</v>
      </c>
      <c r="E46" s="20"/>
      <c r="F46" s="20"/>
      <c r="G46" s="20"/>
      <c r="H46" s="20"/>
      <c r="I46" s="28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2026-09-09T18:25:57Z</dcterms:modified>
</cp:coreProperties>
</file>